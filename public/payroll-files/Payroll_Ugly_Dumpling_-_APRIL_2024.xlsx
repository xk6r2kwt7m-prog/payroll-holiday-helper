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Payroll 2024/"/>
    </mc:Choice>
  </mc:AlternateContent>
  <xr:revisionPtr revIDLastSave="0" documentId="13_ncr:1_{F2DAB338-0939-D746-86D9-DE3A8652BF02}" xr6:coauthVersionLast="47" xr6:coauthVersionMax="47" xr10:uidLastSave="{00000000-0000-0000-0000-000000000000}"/>
  <bookViews>
    <workbookView xWindow="0" yWindow="500" windowWidth="28800" windowHeight="16380" tabRatio="500" activeTab="1" xr2:uid="{00000000-000D-0000-FFFF-FFFF00000000}"/>
  </bookViews>
  <sheets>
    <sheet name="Summary " sheetId="3" r:id="rId1"/>
    <sheet name="Timesheet " sheetId="9" r:id="rId2"/>
    <sheet name="Holiday notes " sheetId="2" r:id="rId3"/>
    <sheet name="Starter checklist " sheetId="4" r:id="rId4"/>
    <sheet name="Dumpling Bonus " sheetId="6" r:id="rId5"/>
    <sheet name="new" sheetId="8" r:id="rId6"/>
  </sheets>
  <definedNames>
    <definedName name="_xlnm.Print_Area" localSheetId="2">'Holiday notes '!$B$4:$G$17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4" i="2" l="1"/>
  <c r="F7" i="2"/>
  <c r="F8" i="2"/>
  <c r="F9" i="2"/>
  <c r="F10" i="2"/>
  <c r="F11" i="2"/>
  <c r="F12" i="2"/>
  <c r="F13" i="2"/>
  <c r="J38" i="9"/>
  <c r="J34" i="9"/>
  <c r="K32" i="9"/>
  <c r="K22" i="9"/>
  <c r="K23" i="9"/>
  <c r="K24" i="9"/>
  <c r="K25" i="9"/>
  <c r="K26" i="9"/>
  <c r="K27" i="9"/>
  <c r="K28" i="9"/>
  <c r="K29" i="9"/>
  <c r="K30" i="9"/>
  <c r="K31" i="9"/>
  <c r="K33" i="9"/>
  <c r="F39" i="9"/>
  <c r="K19" i="9" l="1"/>
  <c r="K18" i="9"/>
  <c r="K7" i="9"/>
  <c r="K16" i="9"/>
  <c r="B4" i="3" l="1"/>
  <c r="K38" i="9"/>
  <c r="K20" i="9"/>
  <c r="H39" i="9"/>
  <c r="K34" i="9"/>
  <c r="K35" i="9"/>
  <c r="K8" i="9"/>
  <c r="K9" i="9"/>
  <c r="K10" i="9"/>
  <c r="K11" i="9"/>
  <c r="K13" i="9"/>
  <c r="K14" i="9"/>
  <c r="K15" i="9"/>
  <c r="K17" i="9"/>
  <c r="K21" i="9"/>
  <c r="K36" i="9"/>
  <c r="K37" i="9"/>
  <c r="K12" i="9"/>
  <c r="D7" i="6"/>
  <c r="D8" i="6"/>
  <c r="K39" i="9" l="1"/>
  <c r="C7" i="3" s="1"/>
  <c r="J39" i="9"/>
  <c r="B23" i="6" l="1"/>
  <c r="G26" i="6" l="1"/>
  <c r="F26" i="6"/>
  <c r="F27" i="6"/>
  <c r="E25" i="6"/>
  <c r="F8" i="6"/>
  <c r="G8" i="6"/>
  <c r="G15" i="2" l="1"/>
  <c r="C9" i="3" s="1"/>
  <c r="H8" i="6"/>
  <c r="I8" i="6" s="1"/>
  <c r="L7" i="6" l="1"/>
  <c r="F7" i="6" l="1"/>
  <c r="G7" i="6" l="1"/>
  <c r="H7" i="6" l="1"/>
  <c r="L8" i="6"/>
  <c r="I7" i="6" l="1"/>
  <c r="J7" i="6" s="1"/>
  <c r="J8" i="6"/>
  <c r="I34" i="9" l="1"/>
  <c r="I39" i="9" s="1"/>
  <c r="C8" i="3" s="1"/>
  <c r="K8" i="6"/>
  <c r="C10" i="3" l="1"/>
  <c r="K7" i="6"/>
</calcChain>
</file>

<file path=xl/sharedStrings.xml><?xml version="1.0" encoding="utf-8"?>
<sst xmlns="http://schemas.openxmlformats.org/spreadsheetml/2006/main" count="138" uniqueCount="125">
  <si>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</si>
  <si>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</si>
  <si>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</si>
  <si>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</si>
  <si>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</si>
  <si>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</si>
  <si>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</si>
  <si>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 xml:space="preserve">TOTAL </t>
  </si>
  <si>
    <t xml:space="preserve">TOTAL PAYROLL </t>
  </si>
  <si>
    <t>Sort Code</t>
  </si>
  <si>
    <t xml:space="preserve">Nationality </t>
  </si>
  <si>
    <t>Cham</t>
  </si>
  <si>
    <t xml:space="preserve">Lissette </t>
  </si>
  <si>
    <t xml:space="preserve">Lau </t>
  </si>
  <si>
    <t xml:space="preserve">Setlment status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</si>
  <si>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</si>
  <si>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</si>
  <si>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</si>
  <si>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</si>
  <si>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</si>
  <si>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</si>
  <si>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</si>
  <si>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</si>
  <si>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</si>
  <si>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</si>
  <si>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</si>
  <si>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</si>
  <si>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</si>
  <si>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</si>
  <si>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</si>
  <si>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Kitty </t>
  </si>
  <si>
    <t xml:space="preserve">hours after bonus </t>
  </si>
  <si>
    <t xml:space="preserve">Ling </t>
  </si>
  <si>
    <t>Chak</t>
  </si>
  <si>
    <t>Resid. Card</t>
  </si>
  <si>
    <t>NINo</t>
  </si>
  <si>
    <t xml:space="preserve">bonus per hour </t>
  </si>
  <si>
    <t xml:space="preserve">STATUS </t>
  </si>
  <si>
    <t>Passaport nb</t>
  </si>
  <si>
    <t xml:space="preserve">Matos </t>
  </si>
  <si>
    <t xml:space="preserve">Ramos </t>
  </si>
  <si>
    <t xml:space="preserve">Rahim </t>
  </si>
  <si>
    <t xml:space="preserve">Setareh </t>
  </si>
  <si>
    <t xml:space="preserve">Saeedfar </t>
  </si>
  <si>
    <t xml:space="preserve">Endea </t>
  </si>
  <si>
    <t xml:space="preserve">Benjamin </t>
  </si>
  <si>
    <t xml:space="preserve">Gray </t>
  </si>
  <si>
    <t xml:space="preserve">Adriana </t>
  </si>
  <si>
    <t xml:space="preserve">Baca </t>
  </si>
  <si>
    <t xml:space="preserve">INCENTIVES </t>
  </si>
  <si>
    <t xml:space="preserve">Durba </t>
  </si>
  <si>
    <t xml:space="preserve">Chandan </t>
  </si>
  <si>
    <t>Bank Account N</t>
  </si>
  <si>
    <t>hours</t>
  </si>
  <si>
    <t xml:space="preserve"> </t>
  </si>
  <si>
    <t xml:space="preserve">Roger </t>
  </si>
  <si>
    <t xml:space="preserve">Rodriguez </t>
  </si>
  <si>
    <t>§</t>
  </si>
  <si>
    <t xml:space="preserve"> Sharing Code</t>
  </si>
  <si>
    <t xml:space="preserve">Luisa </t>
  </si>
  <si>
    <t xml:space="preserve">Valenzuela </t>
  </si>
  <si>
    <t xml:space="preserve">David </t>
  </si>
  <si>
    <t>Ada</t>
  </si>
  <si>
    <t xml:space="preserve">Heidy </t>
  </si>
  <si>
    <t xml:space="preserve">Iara </t>
  </si>
  <si>
    <t xml:space="preserve">Cabrita </t>
  </si>
  <si>
    <t xml:space="preserve">Jess </t>
  </si>
  <si>
    <t xml:space="preserve">Surname </t>
  </si>
  <si>
    <t xml:space="preserve">Forename </t>
  </si>
  <si>
    <t xml:space="preserve">H. Rate </t>
  </si>
  <si>
    <t xml:space="preserve">Timesheet </t>
  </si>
  <si>
    <t xml:space="preserve">Pay </t>
  </si>
  <si>
    <t xml:space="preserve">S. C. </t>
  </si>
  <si>
    <t xml:space="preserve">Sp. Bonus </t>
  </si>
  <si>
    <t xml:space="preserve">Paredes </t>
  </si>
  <si>
    <t xml:space="preserve">Tamar </t>
  </si>
  <si>
    <t xml:space="preserve">Silvio </t>
  </si>
  <si>
    <t xml:space="preserve">Department </t>
  </si>
  <si>
    <t>Rios</t>
  </si>
  <si>
    <t>Yanev</t>
  </si>
  <si>
    <t xml:space="preserve">Feliz </t>
  </si>
  <si>
    <t xml:space="preserve">Jhuli </t>
  </si>
  <si>
    <t xml:space="preserve">Vallejos </t>
  </si>
  <si>
    <t xml:space="preserve">Rios </t>
  </si>
  <si>
    <t xml:space="preserve">Andre </t>
  </si>
  <si>
    <t xml:space="preserve">Stratcham </t>
  </si>
  <si>
    <t xml:space="preserve">Ferreira da Mata </t>
  </si>
  <si>
    <t xml:space="preserve">BOH </t>
  </si>
  <si>
    <t>Anny</t>
  </si>
  <si>
    <t xml:space="preserve">Hafiz </t>
  </si>
  <si>
    <t xml:space="preserve">Akshay </t>
  </si>
  <si>
    <t xml:space="preserve">Lorna </t>
  </si>
  <si>
    <t xml:space="preserve">Mathew </t>
  </si>
  <si>
    <t>Oil Lan</t>
  </si>
  <si>
    <t xml:space="preserve">FOH </t>
  </si>
  <si>
    <t xml:space="preserve">Total </t>
  </si>
  <si>
    <t xml:space="preserve">Starters </t>
  </si>
  <si>
    <t xml:space="preserve">Status </t>
  </si>
  <si>
    <t xml:space="preserve">Notes </t>
  </si>
  <si>
    <t xml:space="preserve">Arisnorky </t>
  </si>
  <si>
    <t xml:space="preserve">UGLY DUMPLING </t>
  </si>
  <si>
    <t xml:space="preserve">Payroll period </t>
  </si>
  <si>
    <t xml:space="preserve">David Mason </t>
  </si>
  <si>
    <t xml:space="preserve">Zineb </t>
  </si>
  <si>
    <t>Zanouny</t>
  </si>
  <si>
    <t xml:space="preserve"> Thomas-knott </t>
  </si>
  <si>
    <t xml:space="preserve">HOLIDAYS </t>
  </si>
  <si>
    <t xml:space="preserve">TIMESHEET </t>
  </si>
  <si>
    <t>Ref.:</t>
  </si>
  <si>
    <t>Saicharan</t>
  </si>
  <si>
    <t>Manepalli</t>
  </si>
  <si>
    <t xml:space="preserve">leaver </t>
  </si>
  <si>
    <t xml:space="preserve">Jhulia </t>
  </si>
  <si>
    <t xml:space="preserve">Galicia </t>
  </si>
  <si>
    <t>CPK</t>
  </si>
  <si>
    <t xml:space="preserve">Olivia </t>
  </si>
  <si>
    <t>Maschio</t>
  </si>
  <si>
    <t xml:space="preserve">Kateryna </t>
  </si>
  <si>
    <t>Miroshnichenko</t>
  </si>
  <si>
    <t xml:space="preserve">Sreeja </t>
  </si>
  <si>
    <t>Vadlapudi</t>
  </si>
  <si>
    <t>sc increase to £3.5</t>
  </si>
  <si>
    <t xml:space="preserve">Chan </t>
  </si>
  <si>
    <t xml:space="preserve">Ben </t>
  </si>
  <si>
    <t>25th March to 21st April 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</si>
</sst>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rgb="FFFF0000"/>
      <name val="Calibri Light"/>
      <family val="2"/>
      <scheme val="major"/>
    </font>
    <font>
      <sz val="10"/>
      <color theme="1"/>
      <name val="Calibri"/>
      <family val="2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 (Body)"/>
    </font>
    <font>
      <sz val="10"/>
      <color theme="9"/>
      <name val="Calibri"/>
      <family val="2"/>
      <scheme val="minor"/>
    </font>
    <font>
      <b/>
      <sz val="10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</borders>
  <cellStyleXfs count="8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7">
    <xf numFmtId="0" fontId="0" fillId="0" borderId="0" xfId="0"/>
    <xf numFmtId="0" fontId="0" fillId="2" borderId="0" xfId="0" applyFill="1"/>
    <xf numFmtId="0" fontId="4" fillId="2" borderId="0" xfId="0" applyFont="1" applyFill="1"/>
    <xf numFmtId="0" fontId="6" fillId="2" borderId="1" xfId="0" applyFont="1" applyFill="1" applyBorder="1" applyAlignment="1"/>
    <xf numFmtId="0" fontId="5" fillId="2" borderId="1" xfId="0" applyFont="1" applyFill="1" applyBorder="1"/>
    <xf numFmtId="0" fontId="9" fillId="2" borderId="0" xfId="0" applyFont="1" applyFill="1"/>
    <xf numFmtId="0" fontId="7" fillId="2" borderId="0" xfId="0" applyFont="1" applyFill="1" applyBorder="1" applyAlignment="1">
      <alignment horizontal="center" vertical="center"/>
    </xf>
    <xf numFmtId="0" fontId="5" fillId="2" borderId="0" xfId="0" applyFont="1" applyFill="1" applyBorder="1"/>
    <xf numFmtId="0" fontId="6" fillId="2" borderId="0" xfId="0" applyFont="1" applyFill="1" applyBorder="1" applyAlignment="1"/>
    <xf numFmtId="165" fontId="5" fillId="2" borderId="0" xfId="0" applyNumberFormat="1" applyFont="1" applyFill="1" applyBorder="1"/>
    <xf numFmtId="167" fontId="9" fillId="2" borderId="0" xfId="0" applyNumberFormat="1" applyFont="1" applyFill="1"/>
    <xf numFmtId="0" fontId="10" fillId="2" borderId="1" xfId="0" applyFont="1" applyFill="1" applyBorder="1"/>
    <xf numFmtId="9" fontId="11" fillId="2" borderId="0" xfId="79" applyFont="1" applyFill="1"/>
    <xf numFmtId="0" fontId="8" fillId="2" borderId="0" xfId="0" applyFont="1" applyFill="1" applyBorder="1" applyAlignment="1">
      <alignment horizontal="left" vertical="center"/>
    </xf>
    <xf numFmtId="165" fontId="8" fillId="2" borderId="0" xfId="78" applyNumberFormat="1" applyFont="1" applyFill="1" applyBorder="1" applyAlignment="1">
      <alignment vertical="center"/>
    </xf>
    <xf numFmtId="164" fontId="7" fillId="2" borderId="0" xfId="78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67" fontId="10" fillId="4" borderId="1" xfId="0" applyNumberFormat="1" applyFont="1" applyFill="1" applyBorder="1"/>
    <xf numFmtId="0" fontId="4" fillId="2" borderId="0" xfId="0" applyFont="1" applyFill="1" applyBorder="1"/>
    <xf numFmtId="0" fontId="9" fillId="2" borderId="0" xfId="0" applyFont="1" applyFill="1" applyBorder="1"/>
    <xf numFmtId="165" fontId="9" fillId="2" borderId="0" xfId="0" applyNumberFormat="1" applyFont="1" applyFill="1"/>
    <xf numFmtId="0" fontId="13" fillId="2" borderId="0" xfId="0" applyFont="1" applyFill="1" applyBorder="1"/>
    <xf numFmtId="164" fontId="7" fillId="2" borderId="1" xfId="78" applyFont="1" applyFill="1" applyBorder="1" applyAlignment="1">
      <alignment horizontal="center" vertical="center"/>
    </xf>
    <xf numFmtId="165" fontId="10" fillId="2" borderId="0" xfId="0" applyNumberFormat="1" applyFont="1" applyFill="1"/>
    <xf numFmtId="10" fontId="11" fillId="2" borderId="0" xfId="79" applyNumberFormat="1" applyFont="1" applyFill="1"/>
    <xf numFmtId="165" fontId="14" fillId="2" borderId="0" xfId="0" applyNumberFormat="1" applyFont="1" applyFill="1"/>
    <xf numFmtId="0" fontId="14" fillId="2" borderId="0" xfId="0" applyFont="1" applyFill="1"/>
    <xf numFmtId="0" fontId="8" fillId="2" borderId="0" xfId="0" applyNumberFormat="1" applyFont="1" applyFill="1" applyBorder="1" applyAlignment="1">
      <alignment horizontal="center" vertical="center"/>
    </xf>
    <xf numFmtId="44" fontId="12" fillId="2" borderId="0" xfId="0" applyNumberFormat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9" xfId="0" applyFont="1" applyFill="1" applyBorder="1"/>
    <xf numFmtId="0" fontId="9" fillId="2" borderId="10" xfId="0" applyFont="1" applyFill="1" applyBorder="1"/>
    <xf numFmtId="0" fontId="9" fillId="2" borderId="11" xfId="0" applyFont="1" applyFill="1" applyBorder="1"/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/>
    </xf>
    <xf numFmtId="0" fontId="9" fillId="2" borderId="1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9" fillId="5" borderId="12" xfId="0" applyFont="1" applyFill="1" applyBorder="1" applyAlignment="1">
      <alignment horizontal="left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165" fontId="9" fillId="2" borderId="10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165" fontId="9" fillId="5" borderId="0" xfId="0" applyNumberFormat="1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165" fontId="9" fillId="2" borderId="0" xfId="0" applyNumberFormat="1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165" fontId="9" fillId="5" borderId="10" xfId="0" applyNumberFormat="1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165" fontId="15" fillId="5" borderId="0" xfId="0" applyNumberFormat="1" applyFont="1" applyFill="1" applyBorder="1" applyAlignment="1">
      <alignment horizontal="center" vertical="center"/>
    </xf>
    <xf numFmtId="165" fontId="15" fillId="2" borderId="0" xfId="0" applyNumberFormat="1" applyFont="1" applyFill="1" applyBorder="1" applyAlignment="1">
      <alignment horizontal="center" vertical="center"/>
    </xf>
    <xf numFmtId="165" fontId="14" fillId="2" borderId="0" xfId="0" applyNumberFormat="1" applyFont="1" applyFill="1" applyBorder="1" applyAlignment="1">
      <alignment horizontal="center" vertical="center"/>
    </xf>
    <xf numFmtId="0" fontId="10" fillId="2" borderId="0" xfId="0" applyFont="1" applyFill="1" applyBorder="1"/>
    <xf numFmtId="0" fontId="10" fillId="2" borderId="0" xfId="0" applyFont="1" applyFill="1"/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165" fontId="9" fillId="6" borderId="18" xfId="0" applyNumberFormat="1" applyFont="1" applyFill="1" applyBorder="1" applyAlignment="1">
      <alignment horizontal="center" vertical="center"/>
    </xf>
    <xf numFmtId="0" fontId="9" fillId="7" borderId="23" xfId="0" applyFont="1" applyFill="1" applyBorder="1"/>
    <xf numFmtId="0" fontId="10" fillId="7" borderId="23" xfId="0" applyFont="1" applyFill="1" applyBorder="1" applyAlignment="1">
      <alignment horizontal="right"/>
    </xf>
    <xf numFmtId="166" fontId="9" fillId="2" borderId="1" xfId="0" applyNumberFormat="1" applyFont="1" applyFill="1" applyBorder="1" applyAlignment="1">
      <alignment horizontal="right"/>
    </xf>
    <xf numFmtId="166" fontId="9" fillId="2" borderId="0" xfId="0" applyNumberFormat="1" applyFont="1" applyFill="1" applyAlignment="1">
      <alignment horizontal="right"/>
    </xf>
    <xf numFmtId="0" fontId="9" fillId="2" borderId="3" xfId="0" applyFont="1" applyFill="1" applyBorder="1"/>
    <xf numFmtId="0" fontId="9" fillId="2" borderId="4" xfId="0" applyFont="1" applyFill="1" applyBorder="1"/>
    <xf numFmtId="0" fontId="10" fillId="2" borderId="3" xfId="0" applyFont="1" applyFill="1" applyBorder="1"/>
    <xf numFmtId="0" fontId="4" fillId="2" borderId="0" xfId="0" applyFont="1" applyFill="1" applyBorder="1" applyAlignment="1"/>
    <xf numFmtId="49" fontId="4" fillId="2" borderId="0" xfId="0" applyNumberFormat="1" applyFont="1" applyFill="1" applyAlignment="1">
      <alignment horizontal="left" vertical="top"/>
    </xf>
    <xf numFmtId="1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Border="1" applyAlignment="1"/>
    <xf numFmtId="0" fontId="4" fillId="2" borderId="0" xfId="0" applyFont="1" applyFill="1" applyBorder="1" applyAlignment="1">
      <alignment horizontal="left"/>
    </xf>
    <xf numFmtId="0" fontId="4" fillId="2" borderId="4" xfId="0" applyFont="1" applyFill="1" applyBorder="1"/>
    <xf numFmtId="0" fontId="13" fillId="3" borderId="0" xfId="0" applyFont="1" applyFill="1" applyBorder="1"/>
    <xf numFmtId="49" fontId="4" fillId="3" borderId="0" xfId="0" applyNumberFormat="1" applyFont="1" applyFill="1" applyBorder="1" applyAlignment="1">
      <alignment horizontal="left"/>
    </xf>
    <xf numFmtId="0" fontId="9" fillId="3" borderId="0" xfId="0" applyFont="1" applyFill="1" applyAlignment="1">
      <alignment horizontal="left" vertical="top"/>
    </xf>
    <xf numFmtId="1" fontId="4" fillId="3" borderId="0" xfId="0" applyNumberFormat="1" applyFont="1" applyFill="1" applyBorder="1" applyAlignment="1">
      <alignment horizontal="left"/>
    </xf>
    <xf numFmtId="1" fontId="4" fillId="3" borderId="0" xfId="0" applyNumberFormat="1" applyFont="1" applyFill="1" applyBorder="1" applyAlignment="1"/>
    <xf numFmtId="0" fontId="4" fillId="3" borderId="0" xfId="0" applyFont="1" applyFill="1" applyBorder="1" applyAlignment="1">
      <alignment horizontal="left"/>
    </xf>
    <xf numFmtId="0" fontId="4" fillId="3" borderId="0" xfId="0" applyFont="1" applyFill="1" applyBorder="1"/>
    <xf numFmtId="49" fontId="4" fillId="2" borderId="0" xfId="0" applyNumberFormat="1" applyFont="1" applyFill="1" applyBorder="1" applyAlignment="1">
      <alignment horizontal="left" vertical="top"/>
    </xf>
    <xf numFmtId="1" fontId="4" fillId="2" borderId="0" xfId="0" applyNumberFormat="1" applyFont="1" applyFill="1" applyBorder="1" applyAlignment="1">
      <alignment horizontal="left"/>
    </xf>
    <xf numFmtId="0" fontId="4" fillId="3" borderId="0" xfId="0" applyFont="1" applyFill="1" applyBorder="1" applyAlignment="1"/>
    <xf numFmtId="49" fontId="4" fillId="3" borderId="0" xfId="0" applyNumberFormat="1" applyFont="1" applyFill="1" applyBorder="1" applyAlignment="1">
      <alignment horizontal="left" vertical="top"/>
    </xf>
    <xf numFmtId="0" fontId="9" fillId="2" borderId="0" xfId="0" applyFont="1" applyFill="1" applyAlignment="1">
      <alignment horizontal="left"/>
    </xf>
    <xf numFmtId="2" fontId="4" fillId="2" borderId="0" xfId="0" applyNumberFormat="1" applyFont="1" applyFill="1" applyBorder="1"/>
    <xf numFmtId="49" fontId="4" fillId="2" borderId="0" xfId="0" applyNumberFormat="1" applyFont="1" applyFill="1" applyBorder="1" applyAlignment="1">
      <alignment horizontal="left"/>
    </xf>
    <xf numFmtId="0" fontId="9" fillId="3" borderId="0" xfId="0" applyFont="1" applyFill="1" applyBorder="1"/>
    <xf numFmtId="0" fontId="9" fillId="2" borderId="0" xfId="0" quotePrefix="1" applyFont="1" applyFill="1" applyBorder="1" applyAlignment="1">
      <alignment horizontal="left"/>
    </xf>
    <xf numFmtId="0" fontId="13" fillId="3" borderId="0" xfId="0" applyFont="1" applyFill="1"/>
    <xf numFmtId="0" fontId="9" fillId="3" borderId="0" xfId="0" applyFont="1" applyFill="1"/>
    <xf numFmtId="0" fontId="9" fillId="3" borderId="0" xfId="0" applyFont="1" applyFill="1" applyAlignment="1">
      <alignment horizontal="left"/>
    </xf>
    <xf numFmtId="0" fontId="13" fillId="2" borderId="0" xfId="0" applyFont="1" applyFill="1"/>
    <xf numFmtId="49" fontId="9" fillId="2" borderId="0" xfId="0" applyNumberFormat="1" applyFont="1" applyFill="1" applyAlignment="1">
      <alignment horizontal="left"/>
    </xf>
    <xf numFmtId="0" fontId="10" fillId="7" borderId="2" xfId="0" applyFont="1" applyFill="1" applyBorder="1"/>
    <xf numFmtId="0" fontId="17" fillId="2" borderId="0" xfId="0" applyFont="1" applyFill="1"/>
    <xf numFmtId="0" fontId="9" fillId="2" borderId="23" xfId="0" applyFont="1" applyFill="1" applyBorder="1"/>
    <xf numFmtId="0" fontId="9" fillId="6" borderId="17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167" fontId="0" fillId="2" borderId="0" xfId="0" applyNumberFormat="1" applyFill="1"/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165" fontId="18" fillId="2" borderId="0" xfId="78" applyNumberFormat="1" applyFont="1" applyFill="1" applyBorder="1" applyAlignment="1">
      <alignment vertical="center"/>
    </xf>
    <xf numFmtId="0" fontId="8" fillId="2" borderId="0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Border="1" applyAlignment="1">
      <alignment horizontal="right" vertical="center"/>
    </xf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388620</xdr:colOff>
      <xdr:row>7</xdr:row>
      <xdr:rowOff>136800</xdr:rowOff>
    </xdr:from>
    <xdr:to>
      <xdr:col>3</xdr:col>
      <xdr:colOff>388980</xdr:colOff>
      <xdr:row>7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11"/>
  <sheetViews>
    <sheetView workbookViewId="0">
      <selection activeCell="C9" sqref="C9"/>
    </sheetView>
  </sheetViews>
  <sheetFormatPr baseColWidth="10" defaultColWidth="11" defaultRowHeight="16" x14ac:dyDescent="0.2"/>
  <cols>
    <col min="1" max="1" width="2" style="1" bestFit="1" customWidth="1"/>
    <col min="2" max="2" width="23.5" style="1" customWidth="1"/>
    <col min="3" max="3" width="27" style="1" customWidth="1"/>
    <col min="4" max="16384" width="11" style="1"/>
  </cols>
  <sheetData>
    <row r="4" spans="1:6" x14ac:dyDescent="0.2">
      <c r="A4" s="5"/>
      <c r="B4" s="1" t="str">
        <f>+'Timesheet '!B2</f>
        <v xml:space="preserve">UGLY DUMPLING </v>
      </c>
    </row>
    <row r="5" spans="1:6" x14ac:dyDescent="0.2">
      <c r="C5" s="12"/>
    </row>
    <row r="6" spans="1:6" ht="17" thickBot="1" x14ac:dyDescent="0.25">
      <c r="B6" s="67"/>
      <c r="C6" s="68" t="s">
        <v>7</v>
      </c>
    </row>
    <row r="7" spans="1:6" ht="17" thickTop="1" x14ac:dyDescent="0.2">
      <c r="B7" s="5" t="s">
        <v>107</v>
      </c>
      <c r="C7" s="10">
        <f>+'Timesheet '!K39</f>
        <v>38836.041600000004</v>
      </c>
    </row>
    <row r="8" spans="1:6" x14ac:dyDescent="0.2">
      <c r="B8" s="5" t="s">
        <v>49</v>
      </c>
      <c r="C8" s="10">
        <f>+'Timesheet '!I39+'Timesheet '!H39</f>
        <v>1036.9000000000001</v>
      </c>
    </row>
    <row r="9" spans="1:6" x14ac:dyDescent="0.2">
      <c r="B9" s="5" t="s">
        <v>106</v>
      </c>
      <c r="C9" s="10">
        <f>'Holiday notes '!G15</f>
        <v>0</v>
      </c>
    </row>
    <row r="10" spans="1:6" ht="33" customHeight="1" thickBot="1" x14ac:dyDescent="0.25">
      <c r="B10" s="11" t="s">
        <v>8</v>
      </c>
      <c r="C10" s="17">
        <f>SUM(C7:C9)</f>
        <v>39872.941600000006</v>
      </c>
    </row>
    <row r="11" spans="1:6" ht="17" thickTop="1" x14ac:dyDescent="0.2">
      <c r="C11" s="106"/>
      <c r="F11" s="24"/>
    </row>
  </sheetData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F329-354C-D44E-9E86-67584192A410}">
  <dimension ref="B2:L39"/>
  <sheetViews>
    <sheetView tabSelected="1" zoomScale="110" zoomScaleNormal="110" workbookViewId="0">
      <selection activeCell="H23" sqref="H23"/>
    </sheetView>
  </sheetViews>
  <sheetFormatPr baseColWidth="10" defaultRowHeight="14" x14ac:dyDescent="0.2"/>
  <cols>
    <col min="1" max="1" width="7.1640625" style="5" customWidth="1"/>
    <col min="2" max="3" width="11" style="5" bestFit="1" customWidth="1"/>
    <col min="4" max="4" width="9.33203125" style="5" bestFit="1" customWidth="1"/>
    <col min="5" max="5" width="12.6640625" style="5" bestFit="1" customWidth="1"/>
    <col min="6" max="6" width="9" style="5" bestFit="1" customWidth="1"/>
    <col min="7" max="7" width="6.6640625" style="5" bestFit="1" customWidth="1"/>
    <col min="8" max="8" width="10.33203125" style="5" bestFit="1" customWidth="1"/>
    <col min="9" max="9" width="9" style="5" bestFit="1" customWidth="1"/>
    <col min="10" max="10" width="9.6640625" style="5" bestFit="1" customWidth="1"/>
    <col min="11" max="11" width="11.5" style="5" bestFit="1" customWidth="1"/>
    <col min="12" max="12" width="48.83203125" style="5" customWidth="1"/>
    <col min="13" max="16384" width="10.83203125" style="5"/>
  </cols>
  <sheetData>
    <row r="2" spans="2:12" x14ac:dyDescent="0.2">
      <c r="B2" s="60" t="s">
        <v>100</v>
      </c>
      <c r="C2" s="19"/>
    </row>
    <row r="3" spans="2:12" x14ac:dyDescent="0.2">
      <c r="B3" s="61" t="s">
        <v>101</v>
      </c>
      <c r="C3" s="5" t="s">
        <v>124</v>
      </c>
    </row>
    <row r="4" spans="2:12" ht="15" thickBot="1" x14ac:dyDescent="0.25"/>
    <row r="5" spans="2:12" ht="3" customHeight="1" x14ac:dyDescent="0.2">
      <c r="B5" s="30"/>
      <c r="C5" s="31"/>
      <c r="D5" s="31"/>
      <c r="E5" s="31"/>
      <c r="F5" s="31"/>
      <c r="G5" s="31"/>
      <c r="H5" s="31"/>
      <c r="I5" s="31"/>
      <c r="J5" s="31"/>
      <c r="K5" s="31"/>
      <c r="L5" s="32"/>
    </row>
    <row r="6" spans="2:12" ht="29" customHeight="1" thickBot="1" x14ac:dyDescent="0.25">
      <c r="B6" s="62" t="s">
        <v>77</v>
      </c>
      <c r="C6" s="63" t="s">
        <v>97</v>
      </c>
      <c r="D6" s="63" t="s">
        <v>68</v>
      </c>
      <c r="E6" s="63" t="s">
        <v>67</v>
      </c>
      <c r="F6" s="63" t="s">
        <v>69</v>
      </c>
      <c r="G6" s="63" t="s">
        <v>72</v>
      </c>
      <c r="H6" s="63" t="s">
        <v>15</v>
      </c>
      <c r="I6" s="63" t="s">
        <v>73</v>
      </c>
      <c r="J6" s="63" t="s">
        <v>70</v>
      </c>
      <c r="K6" s="63" t="s">
        <v>71</v>
      </c>
      <c r="L6" s="64" t="s">
        <v>98</v>
      </c>
    </row>
    <row r="7" spans="2:12" ht="16" customHeight="1" x14ac:dyDescent="0.2">
      <c r="B7" s="107" t="s">
        <v>94</v>
      </c>
      <c r="C7" s="43"/>
      <c r="D7" s="37" t="s">
        <v>12</v>
      </c>
      <c r="E7" s="37" t="s">
        <v>74</v>
      </c>
      <c r="F7" s="45">
        <v>11.44</v>
      </c>
      <c r="G7" s="45">
        <v>4</v>
      </c>
      <c r="H7" s="45">
        <v>120</v>
      </c>
      <c r="I7" s="45"/>
      <c r="J7" s="44">
        <v>152.41</v>
      </c>
      <c r="K7" s="45">
        <f>+F7*J7+(G7*J7)+H7</f>
        <v>2473.2103999999999</v>
      </c>
      <c r="L7" s="46"/>
    </row>
    <row r="8" spans="2:12" x14ac:dyDescent="0.2">
      <c r="B8" s="108"/>
      <c r="C8" s="47"/>
      <c r="D8" s="38" t="s">
        <v>75</v>
      </c>
      <c r="E8" s="38" t="s">
        <v>78</v>
      </c>
      <c r="F8" s="49">
        <v>11.44</v>
      </c>
      <c r="G8" s="49">
        <v>2.5</v>
      </c>
      <c r="H8" s="49">
        <v>90</v>
      </c>
      <c r="I8" s="49"/>
      <c r="J8" s="48">
        <v>117.98</v>
      </c>
      <c r="K8" s="49">
        <f t="shared" ref="K8:K36" si="0">+F8*J8+(G8*J8)+H8</f>
        <v>1734.6412</v>
      </c>
      <c r="L8" s="50"/>
    </row>
    <row r="9" spans="2:12" x14ac:dyDescent="0.2">
      <c r="B9" s="108"/>
      <c r="C9" s="47"/>
      <c r="D9" s="39" t="s">
        <v>45</v>
      </c>
      <c r="E9" s="39" t="s">
        <v>46</v>
      </c>
      <c r="F9" s="52">
        <v>10</v>
      </c>
      <c r="G9" s="52">
        <v>1</v>
      </c>
      <c r="H9" s="52">
        <v>0</v>
      </c>
      <c r="I9" s="52"/>
      <c r="J9" s="51">
        <v>70.73</v>
      </c>
      <c r="K9" s="52">
        <f t="shared" si="0"/>
        <v>778.03000000000009</v>
      </c>
      <c r="L9" s="53"/>
    </row>
    <row r="10" spans="2:12" x14ac:dyDescent="0.2">
      <c r="B10" s="108"/>
      <c r="C10" s="47"/>
      <c r="D10" s="38" t="s">
        <v>64</v>
      </c>
      <c r="E10" s="38" t="s">
        <v>65</v>
      </c>
      <c r="F10" s="49">
        <v>10.44</v>
      </c>
      <c r="G10" s="49">
        <v>0.5</v>
      </c>
      <c r="H10" s="49"/>
      <c r="I10" s="49"/>
      <c r="J10" s="48">
        <v>58.76</v>
      </c>
      <c r="K10" s="49">
        <f t="shared" si="0"/>
        <v>642.83439999999996</v>
      </c>
      <c r="L10" s="50"/>
    </row>
    <row r="11" spans="2:12" x14ac:dyDescent="0.2">
      <c r="B11" s="108"/>
      <c r="C11" s="47" t="s">
        <v>111</v>
      </c>
      <c r="D11" s="39" t="s">
        <v>76</v>
      </c>
      <c r="E11" s="39" t="s">
        <v>79</v>
      </c>
      <c r="F11" s="52">
        <v>10</v>
      </c>
      <c r="G11" s="52">
        <v>0.5</v>
      </c>
      <c r="H11" s="52"/>
      <c r="I11" s="52"/>
      <c r="J11" s="51">
        <v>0</v>
      </c>
      <c r="K11" s="52">
        <f t="shared" si="0"/>
        <v>0</v>
      </c>
      <c r="L11" s="53"/>
    </row>
    <row r="12" spans="2:12" x14ac:dyDescent="0.2">
      <c r="B12" s="108"/>
      <c r="C12" s="47"/>
      <c r="D12" s="38" t="s">
        <v>61</v>
      </c>
      <c r="E12" s="38" t="s">
        <v>83</v>
      </c>
      <c r="F12" s="49">
        <v>11.5</v>
      </c>
      <c r="G12" s="49">
        <v>3.5</v>
      </c>
      <c r="H12" s="49">
        <v>100</v>
      </c>
      <c r="I12" s="49"/>
      <c r="J12" s="48">
        <v>180.51</v>
      </c>
      <c r="K12" s="49">
        <f t="shared" si="0"/>
        <v>2807.6499999999996</v>
      </c>
      <c r="L12" s="50" t="s">
        <v>121</v>
      </c>
    </row>
    <row r="13" spans="2:12" x14ac:dyDescent="0.2">
      <c r="B13" s="108"/>
      <c r="C13" s="47"/>
      <c r="D13" s="39" t="s">
        <v>50</v>
      </c>
      <c r="E13" s="39" t="s">
        <v>51</v>
      </c>
      <c r="F13" s="52">
        <v>11.42</v>
      </c>
      <c r="G13" s="52">
        <v>1</v>
      </c>
      <c r="H13" s="52"/>
      <c r="I13" s="52"/>
      <c r="J13" s="51">
        <v>43.18</v>
      </c>
      <c r="K13" s="52">
        <f t="shared" si="0"/>
        <v>536.29559999999992</v>
      </c>
      <c r="L13" s="53"/>
    </row>
    <row r="14" spans="2:12" x14ac:dyDescent="0.2">
      <c r="B14" s="108"/>
      <c r="C14" s="47"/>
      <c r="D14" s="38" t="s">
        <v>44</v>
      </c>
      <c r="E14" s="38" t="s">
        <v>85</v>
      </c>
      <c r="F14" s="49">
        <v>11.44</v>
      </c>
      <c r="G14" s="49">
        <v>1</v>
      </c>
      <c r="H14" s="49">
        <v>50</v>
      </c>
      <c r="I14" s="49"/>
      <c r="J14" s="48">
        <v>96.81</v>
      </c>
      <c r="K14" s="49">
        <f t="shared" si="0"/>
        <v>1254.3163999999999</v>
      </c>
      <c r="L14" s="50"/>
    </row>
    <row r="15" spans="2:12" x14ac:dyDescent="0.2">
      <c r="B15" s="108"/>
      <c r="C15" s="47"/>
      <c r="D15" s="39" t="s">
        <v>103</v>
      </c>
      <c r="E15" s="39" t="s">
        <v>104</v>
      </c>
      <c r="F15" s="52">
        <v>11.42</v>
      </c>
      <c r="G15" s="52">
        <v>0.6</v>
      </c>
      <c r="H15" s="52"/>
      <c r="I15" s="52"/>
      <c r="J15" s="51">
        <v>76.239999999999995</v>
      </c>
      <c r="K15" s="52">
        <f t="shared" si="0"/>
        <v>916.40479999999991</v>
      </c>
      <c r="L15" s="53"/>
    </row>
    <row r="16" spans="2:12" x14ac:dyDescent="0.2">
      <c r="B16" s="108"/>
      <c r="C16" s="47"/>
      <c r="D16" s="38" t="s">
        <v>112</v>
      </c>
      <c r="E16" s="38" t="s">
        <v>113</v>
      </c>
      <c r="F16" s="49">
        <v>9.5</v>
      </c>
      <c r="G16" s="49">
        <v>0.5</v>
      </c>
      <c r="H16" s="49"/>
      <c r="I16" s="49"/>
      <c r="J16" s="48">
        <v>63.91</v>
      </c>
      <c r="K16" s="49">
        <f t="shared" si="0"/>
        <v>639.1</v>
      </c>
      <c r="L16" s="50"/>
    </row>
    <row r="17" spans="2:12" x14ac:dyDescent="0.2">
      <c r="B17" s="108"/>
      <c r="C17" s="47" t="s">
        <v>111</v>
      </c>
      <c r="D17" s="39" t="s">
        <v>84</v>
      </c>
      <c r="E17" s="39" t="s">
        <v>86</v>
      </c>
      <c r="F17" s="52">
        <v>10</v>
      </c>
      <c r="G17" s="52">
        <v>0.5</v>
      </c>
      <c r="H17" s="52"/>
      <c r="I17" s="52"/>
      <c r="J17" s="51">
        <v>0</v>
      </c>
      <c r="K17" s="52">
        <f t="shared" si="0"/>
        <v>0</v>
      </c>
      <c r="L17" s="53"/>
    </row>
    <row r="18" spans="2:12" ht="15" customHeight="1" x14ac:dyDescent="0.2">
      <c r="B18" s="109"/>
      <c r="C18" s="47"/>
      <c r="D18" s="38" t="s">
        <v>115</v>
      </c>
      <c r="E18" s="38" t="s">
        <v>116</v>
      </c>
      <c r="F18" s="49">
        <v>11.44</v>
      </c>
      <c r="G18" s="49">
        <v>0.5</v>
      </c>
      <c r="H18" s="49"/>
      <c r="I18" s="49"/>
      <c r="J18" s="48">
        <v>129.13999999999999</v>
      </c>
      <c r="K18" s="49">
        <f t="shared" si="0"/>
        <v>1541.9315999999997</v>
      </c>
      <c r="L18" s="50"/>
    </row>
    <row r="19" spans="2:12" ht="15" customHeight="1" x14ac:dyDescent="0.2">
      <c r="B19" s="109"/>
      <c r="C19" s="47"/>
      <c r="D19" s="39" t="s">
        <v>117</v>
      </c>
      <c r="E19" s="39" t="s">
        <v>118</v>
      </c>
      <c r="F19" s="52">
        <v>9.5</v>
      </c>
      <c r="G19" s="52">
        <v>1</v>
      </c>
      <c r="H19" s="52"/>
      <c r="I19" s="52"/>
      <c r="J19" s="51">
        <v>99.7</v>
      </c>
      <c r="K19" s="52">
        <f t="shared" si="0"/>
        <v>1046.8499999999999</v>
      </c>
      <c r="L19" s="53"/>
    </row>
    <row r="20" spans="2:12" ht="15" thickBot="1" x14ac:dyDescent="0.25">
      <c r="B20" s="109"/>
      <c r="C20" s="47"/>
      <c r="D20" s="38" t="s">
        <v>102</v>
      </c>
      <c r="E20" s="38" t="s">
        <v>105</v>
      </c>
      <c r="F20" s="49">
        <v>9.5</v>
      </c>
      <c r="G20" s="49">
        <v>0.5</v>
      </c>
      <c r="H20" s="49"/>
      <c r="I20" s="49"/>
      <c r="J20" s="48">
        <v>60.17</v>
      </c>
      <c r="K20" s="49">
        <f t="shared" si="0"/>
        <v>601.70000000000005</v>
      </c>
      <c r="L20" s="50"/>
    </row>
    <row r="21" spans="2:12" x14ac:dyDescent="0.2">
      <c r="B21" s="107" t="s">
        <v>87</v>
      </c>
      <c r="C21" s="29"/>
      <c r="D21" s="40" t="s">
        <v>42</v>
      </c>
      <c r="E21" s="41" t="s">
        <v>43</v>
      </c>
      <c r="F21" s="55">
        <v>11.5</v>
      </c>
      <c r="G21" s="55">
        <v>2.25</v>
      </c>
      <c r="H21" s="55"/>
      <c r="I21" s="55"/>
      <c r="J21" s="54">
        <v>127.78</v>
      </c>
      <c r="K21" s="55">
        <f t="shared" si="0"/>
        <v>1756.9749999999999</v>
      </c>
      <c r="L21" s="56"/>
    </row>
    <row r="22" spans="2:12" x14ac:dyDescent="0.2">
      <c r="B22" s="108"/>
      <c r="C22" s="33"/>
      <c r="D22" s="35" t="s">
        <v>63</v>
      </c>
      <c r="E22" s="39" t="s">
        <v>40</v>
      </c>
      <c r="F22" s="52">
        <v>11.7</v>
      </c>
      <c r="G22" s="52">
        <v>2</v>
      </c>
      <c r="H22" s="52">
        <v>80</v>
      </c>
      <c r="I22" s="52"/>
      <c r="J22" s="51">
        <v>125.77</v>
      </c>
      <c r="K22" s="52">
        <f t="shared" si="0"/>
        <v>1803.0489999999998</v>
      </c>
      <c r="L22" s="53"/>
    </row>
    <row r="23" spans="2:12" x14ac:dyDescent="0.2">
      <c r="B23" s="108"/>
      <c r="C23" s="33"/>
      <c r="D23" s="42" t="s">
        <v>62</v>
      </c>
      <c r="E23" s="38" t="s">
        <v>80</v>
      </c>
      <c r="F23" s="49">
        <v>11.44</v>
      </c>
      <c r="G23" s="49">
        <v>3</v>
      </c>
      <c r="H23" s="57">
        <v>40</v>
      </c>
      <c r="I23" s="49"/>
      <c r="J23" s="48">
        <v>80</v>
      </c>
      <c r="K23" s="49">
        <f t="shared" si="0"/>
        <v>1195.1999999999998</v>
      </c>
      <c r="L23" s="50"/>
    </row>
    <row r="24" spans="2:12" x14ac:dyDescent="0.2">
      <c r="B24" s="108"/>
      <c r="C24" s="33"/>
      <c r="D24" s="35" t="s">
        <v>55</v>
      </c>
      <c r="E24" s="39" t="s">
        <v>56</v>
      </c>
      <c r="F24" s="52">
        <v>11.5</v>
      </c>
      <c r="G24" s="52">
        <v>2</v>
      </c>
      <c r="H24" s="52">
        <v>100</v>
      </c>
      <c r="I24" s="52"/>
      <c r="J24" s="51">
        <v>188.82</v>
      </c>
      <c r="K24" s="52">
        <f t="shared" si="0"/>
        <v>2649.0699999999997</v>
      </c>
      <c r="L24" s="53"/>
    </row>
    <row r="25" spans="2:12" x14ac:dyDescent="0.2">
      <c r="B25" s="108"/>
      <c r="C25" s="33"/>
      <c r="D25" s="42" t="s">
        <v>47</v>
      </c>
      <c r="E25" s="38" t="s">
        <v>48</v>
      </c>
      <c r="F25" s="49">
        <v>11.44</v>
      </c>
      <c r="G25" s="49">
        <v>1.5</v>
      </c>
      <c r="H25" s="49"/>
      <c r="I25" s="49"/>
      <c r="J25" s="48">
        <v>63.69</v>
      </c>
      <c r="K25" s="49">
        <f t="shared" si="0"/>
        <v>824.14859999999987</v>
      </c>
      <c r="L25" s="50"/>
    </row>
    <row r="26" spans="2:12" x14ac:dyDescent="0.2">
      <c r="B26" s="108"/>
      <c r="C26" s="33"/>
      <c r="D26" s="35" t="s">
        <v>88</v>
      </c>
      <c r="E26" s="39" t="s">
        <v>39</v>
      </c>
      <c r="F26" s="52">
        <v>11.44</v>
      </c>
      <c r="G26" s="52">
        <v>2</v>
      </c>
      <c r="H26" s="52"/>
      <c r="I26" s="52"/>
      <c r="J26" s="51">
        <v>71.53</v>
      </c>
      <c r="K26" s="52">
        <f t="shared" si="0"/>
        <v>961.36320000000001</v>
      </c>
      <c r="L26" s="53"/>
    </row>
    <row r="27" spans="2:12" x14ac:dyDescent="0.2">
      <c r="B27" s="108"/>
      <c r="C27" s="33"/>
      <c r="D27" s="35" t="s">
        <v>99</v>
      </c>
      <c r="E27" s="39" t="s">
        <v>80</v>
      </c>
      <c r="F27" s="52">
        <v>11.5</v>
      </c>
      <c r="G27" s="58">
        <v>1.5</v>
      </c>
      <c r="H27" s="52"/>
      <c r="I27" s="52"/>
      <c r="J27" s="51">
        <v>82.65</v>
      </c>
      <c r="K27" s="52">
        <f t="shared" si="0"/>
        <v>1074.45</v>
      </c>
      <c r="L27" s="53"/>
    </row>
    <row r="28" spans="2:12" x14ac:dyDescent="0.2">
      <c r="B28" s="108"/>
      <c r="C28" s="33"/>
      <c r="D28" s="42" t="s">
        <v>89</v>
      </c>
      <c r="E28" s="38" t="s">
        <v>41</v>
      </c>
      <c r="F28" s="49">
        <v>13</v>
      </c>
      <c r="G28" s="49"/>
      <c r="H28" s="49">
        <v>80</v>
      </c>
      <c r="I28" s="49"/>
      <c r="J28" s="48">
        <v>169.57</v>
      </c>
      <c r="K28" s="49">
        <f t="shared" si="0"/>
        <v>2284.41</v>
      </c>
      <c r="L28" s="50"/>
    </row>
    <row r="29" spans="2:12" x14ac:dyDescent="0.2">
      <c r="B29" s="108"/>
      <c r="C29" s="33"/>
      <c r="D29" s="35" t="s">
        <v>81</v>
      </c>
      <c r="E29" s="39" t="s">
        <v>82</v>
      </c>
      <c r="F29" s="52">
        <v>10</v>
      </c>
      <c r="G29" s="52">
        <v>0.5</v>
      </c>
      <c r="H29" s="52"/>
      <c r="I29" s="52"/>
      <c r="J29" s="51">
        <v>71.72</v>
      </c>
      <c r="K29" s="52">
        <f t="shared" si="0"/>
        <v>753.06000000000006</v>
      </c>
      <c r="L29" s="53"/>
    </row>
    <row r="30" spans="2:12" x14ac:dyDescent="0.2">
      <c r="B30" s="108"/>
      <c r="C30" s="33"/>
      <c r="D30" s="42" t="s">
        <v>59</v>
      </c>
      <c r="E30" s="38" t="s">
        <v>60</v>
      </c>
      <c r="F30" s="49">
        <v>11.44</v>
      </c>
      <c r="G30" s="49">
        <v>1</v>
      </c>
      <c r="H30" s="49"/>
      <c r="I30" s="49"/>
      <c r="J30" s="48">
        <v>27.7</v>
      </c>
      <c r="K30" s="49">
        <f t="shared" si="0"/>
        <v>344.58799999999997</v>
      </c>
      <c r="L30" s="50"/>
    </row>
    <row r="31" spans="2:12" x14ac:dyDescent="0.2">
      <c r="B31" s="108"/>
      <c r="C31" s="33"/>
      <c r="D31" s="35" t="s">
        <v>90</v>
      </c>
      <c r="E31" s="39" t="s">
        <v>92</v>
      </c>
      <c r="F31" s="52">
        <v>11.44</v>
      </c>
      <c r="G31" s="52">
        <v>0.5</v>
      </c>
      <c r="H31" s="59"/>
      <c r="I31" s="52"/>
      <c r="J31" s="51">
        <v>71.53</v>
      </c>
      <c r="K31" s="52">
        <f t="shared" si="0"/>
        <v>854.06819999999993</v>
      </c>
      <c r="L31" s="53"/>
    </row>
    <row r="32" spans="2:12" x14ac:dyDescent="0.2">
      <c r="B32" s="108"/>
      <c r="C32" s="33"/>
      <c r="D32" s="42" t="s">
        <v>119</v>
      </c>
      <c r="E32" s="38" t="s">
        <v>120</v>
      </c>
      <c r="F32" s="49">
        <v>11.5</v>
      </c>
      <c r="G32" s="49"/>
      <c r="H32" s="49"/>
      <c r="I32" s="49">
        <v>50</v>
      </c>
      <c r="J32" s="48">
        <v>125.63</v>
      </c>
      <c r="K32" s="49">
        <f>+J32*F32</f>
        <v>1444.7449999999999</v>
      </c>
      <c r="L32" s="50"/>
    </row>
    <row r="33" spans="2:12" ht="15" thickBot="1" x14ac:dyDescent="0.25">
      <c r="B33" s="109"/>
      <c r="C33" s="33"/>
      <c r="D33" s="35" t="s">
        <v>109</v>
      </c>
      <c r="E33" s="39" t="s">
        <v>110</v>
      </c>
      <c r="F33" s="52">
        <v>11.5</v>
      </c>
      <c r="G33" s="52">
        <v>2</v>
      </c>
      <c r="H33" s="52">
        <v>80</v>
      </c>
      <c r="I33" s="52"/>
      <c r="J33" s="51">
        <v>204.27</v>
      </c>
      <c r="K33" s="52">
        <f>+F33*J33+(G33*J33)+H33</f>
        <v>2837.645</v>
      </c>
      <c r="L33" s="53"/>
    </row>
    <row r="34" spans="2:12" x14ac:dyDescent="0.2">
      <c r="B34" s="107" t="s">
        <v>114</v>
      </c>
      <c r="C34" s="29"/>
      <c r="D34" s="40" t="s">
        <v>66</v>
      </c>
      <c r="E34" s="41" t="s">
        <v>11</v>
      </c>
      <c r="F34" s="55">
        <v>11.44</v>
      </c>
      <c r="G34" s="55"/>
      <c r="H34" s="55"/>
      <c r="I34" s="55">
        <f>+'Dumpling Bonus '!J8</f>
        <v>146.9</v>
      </c>
      <c r="J34" s="54">
        <f>+'Dumpling Bonus '!L8</f>
        <v>119.80000000000001</v>
      </c>
      <c r="K34" s="55">
        <f t="shared" si="0"/>
        <v>1370.5120000000002</v>
      </c>
      <c r="L34" s="56"/>
    </row>
    <row r="35" spans="2:12" x14ac:dyDescent="0.2">
      <c r="B35" s="108"/>
      <c r="C35" s="33"/>
      <c r="D35" s="35" t="s">
        <v>30</v>
      </c>
      <c r="E35" s="39" t="s">
        <v>93</v>
      </c>
      <c r="F35" s="52">
        <v>11.44</v>
      </c>
      <c r="G35" s="52"/>
      <c r="H35" s="52"/>
      <c r="I35" s="52">
        <v>100</v>
      </c>
      <c r="J35" s="51">
        <v>171.28</v>
      </c>
      <c r="K35" s="52">
        <f>+F35*J35+(G35*J35)+H35+I35</f>
        <v>2059.4431999999997</v>
      </c>
      <c r="L35" s="53"/>
    </row>
    <row r="36" spans="2:12" x14ac:dyDescent="0.2">
      <c r="B36" s="108"/>
      <c r="C36" s="33"/>
      <c r="D36" s="42" t="s">
        <v>32</v>
      </c>
      <c r="E36" s="38" t="s">
        <v>33</v>
      </c>
      <c r="F36" s="49">
        <v>11.44</v>
      </c>
      <c r="G36" s="49"/>
      <c r="H36" s="49"/>
      <c r="I36" s="49">
        <v>0</v>
      </c>
      <c r="J36" s="48">
        <v>0</v>
      </c>
      <c r="K36" s="49">
        <f t="shared" si="0"/>
        <v>0</v>
      </c>
      <c r="L36" s="50"/>
    </row>
    <row r="37" spans="2:12" x14ac:dyDescent="0.2">
      <c r="B37" s="108"/>
      <c r="C37" s="33" t="s">
        <v>111</v>
      </c>
      <c r="D37" s="35" t="s">
        <v>91</v>
      </c>
      <c r="E37" s="39" t="s">
        <v>13</v>
      </c>
      <c r="F37" s="52">
        <v>11.44</v>
      </c>
      <c r="G37" s="52"/>
      <c r="H37" s="52"/>
      <c r="I37" s="52"/>
      <c r="J37" s="51">
        <v>0</v>
      </c>
      <c r="K37" s="52">
        <f>+F37*J37+(G37*J37)+H37</f>
        <v>0</v>
      </c>
      <c r="L37" s="53"/>
    </row>
    <row r="38" spans="2:12" ht="15" thickBot="1" x14ac:dyDescent="0.25">
      <c r="B38" s="110"/>
      <c r="C38" s="34"/>
      <c r="D38" s="42" t="s">
        <v>16</v>
      </c>
      <c r="E38" s="38" t="s">
        <v>16</v>
      </c>
      <c r="F38" s="49">
        <v>11.5</v>
      </c>
      <c r="G38" s="49">
        <v>1.5</v>
      </c>
      <c r="H38" s="49"/>
      <c r="I38" s="49"/>
      <c r="J38" s="48">
        <f>+'Dumpling Bonus '!L7</f>
        <v>126.94999999999999</v>
      </c>
      <c r="K38" s="49">
        <f>+F38*J38+(G38*J38)+H38</f>
        <v>1650.35</v>
      </c>
      <c r="L38" s="50"/>
    </row>
    <row r="39" spans="2:12" ht="26" customHeight="1" thickBot="1" x14ac:dyDescent="0.25">
      <c r="B39" s="111" t="s">
        <v>95</v>
      </c>
      <c r="C39" s="112"/>
      <c r="D39" s="104"/>
      <c r="E39" s="65"/>
      <c r="F39" s="66">
        <f>+AVERAGE(F7:F38)</f>
        <v>11.115625</v>
      </c>
      <c r="G39" s="65"/>
      <c r="H39" s="66">
        <f>+SUM(H7:H38)</f>
        <v>740</v>
      </c>
      <c r="I39" s="65">
        <f>+SUM(I7:I38)</f>
        <v>296.89999999999998</v>
      </c>
      <c r="J39" s="65">
        <f>+SUM(J7:J38)</f>
        <v>2978.23</v>
      </c>
      <c r="K39" s="66">
        <f>+SUM(K7:K38)</f>
        <v>38836.041600000004</v>
      </c>
      <c r="L39" s="105"/>
    </row>
  </sheetData>
  <mergeCells count="4">
    <mergeCell ref="B7:B20"/>
    <mergeCell ref="B21:B33"/>
    <mergeCell ref="B34:B38"/>
    <mergeCell ref="B39:C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J17"/>
  <sheetViews>
    <sheetView workbookViewId="0">
      <selection activeCell="G21" sqref="G21"/>
    </sheetView>
  </sheetViews>
  <sheetFormatPr baseColWidth="10" defaultColWidth="8.83203125" defaultRowHeight="14" x14ac:dyDescent="0.2"/>
  <cols>
    <col min="1" max="1" width="8.83203125" style="5"/>
    <col min="2" max="2" width="18.1640625" style="5" customWidth="1"/>
    <col min="3" max="3" width="15.5" style="5" bestFit="1" customWidth="1"/>
    <col min="4" max="4" width="22.6640625" style="5" bestFit="1" customWidth="1"/>
    <col min="5" max="5" width="13.5" style="5" bestFit="1" customWidth="1"/>
    <col min="6" max="6" width="11.5" style="5" bestFit="1" customWidth="1"/>
    <col min="7" max="7" width="11.33203125" style="5" customWidth="1"/>
    <col min="8" max="8" width="13.33203125" style="5" bestFit="1" customWidth="1"/>
    <col min="9" max="256" width="11" style="5" customWidth="1"/>
    <col min="257" max="16384" width="8.83203125" style="5"/>
  </cols>
  <sheetData>
    <row r="3" spans="2:8" x14ac:dyDescent="0.2">
      <c r="B3" s="113" t="s">
        <v>5</v>
      </c>
      <c r="C3" s="113"/>
      <c r="D3" s="113"/>
      <c r="E3" s="113"/>
      <c r="F3" s="113"/>
      <c r="G3" s="113"/>
      <c r="H3" s="113"/>
    </row>
    <row r="4" spans="2:8" x14ac:dyDescent="0.2">
      <c r="B4" s="113"/>
      <c r="C4" s="113"/>
      <c r="D4" s="113"/>
      <c r="E4" s="113"/>
      <c r="F4" s="113"/>
      <c r="G4" s="113"/>
      <c r="H4" s="113"/>
    </row>
    <row r="5" spans="2:8" ht="29" customHeight="1" x14ac:dyDescent="0.2">
      <c r="B5" s="16" t="s">
        <v>0</v>
      </c>
      <c r="C5" s="16" t="s">
        <v>1</v>
      </c>
      <c r="D5" s="16" t="s">
        <v>2</v>
      </c>
      <c r="E5" s="16" t="s">
        <v>3</v>
      </c>
      <c r="F5" s="16" t="s">
        <v>4</v>
      </c>
      <c r="G5" s="16" t="s">
        <v>6</v>
      </c>
      <c r="H5" s="16" t="s">
        <v>37</v>
      </c>
    </row>
    <row r="6" spans="2:8" ht="14" customHeight="1" x14ac:dyDescent="0.2">
      <c r="B6" s="13"/>
      <c r="C6" s="6"/>
      <c r="D6" s="6"/>
      <c r="E6" s="14"/>
      <c r="F6" s="27"/>
      <c r="G6" s="15"/>
      <c r="H6" s="28"/>
    </row>
    <row r="7" spans="2:8" ht="14" customHeight="1" x14ac:dyDescent="0.2">
      <c r="B7" s="13" t="s">
        <v>32</v>
      </c>
      <c r="C7" s="6"/>
      <c r="D7" s="6"/>
      <c r="E7" s="14">
        <v>11</v>
      </c>
      <c r="F7" s="115">
        <f>+E7*14*8</f>
        <v>1232</v>
      </c>
      <c r="G7" s="15"/>
      <c r="H7" s="28"/>
    </row>
    <row r="8" spans="2:8" ht="14" customHeight="1" x14ac:dyDescent="0.2">
      <c r="B8" s="13" t="s">
        <v>64</v>
      </c>
      <c r="C8" s="6"/>
      <c r="D8" s="6"/>
      <c r="E8" s="14">
        <v>10.44</v>
      </c>
      <c r="F8" s="115">
        <f>+E8*3*8</f>
        <v>250.56</v>
      </c>
      <c r="G8" s="15"/>
      <c r="H8" s="28"/>
    </row>
    <row r="9" spans="2:8" ht="14" customHeight="1" x14ac:dyDescent="0.2">
      <c r="B9" s="13" t="s">
        <v>44</v>
      </c>
      <c r="C9" s="6"/>
      <c r="D9" s="6"/>
      <c r="E9" s="14">
        <v>11</v>
      </c>
      <c r="F9" s="115">
        <f>+E9*(5*8)</f>
        <v>440</v>
      </c>
      <c r="G9" s="15"/>
      <c r="H9" s="28"/>
    </row>
    <row r="10" spans="2:8" ht="14" customHeight="1" x14ac:dyDescent="0.2">
      <c r="B10" s="13" t="s">
        <v>122</v>
      </c>
      <c r="C10" s="6"/>
      <c r="D10" s="6"/>
      <c r="E10" s="14">
        <v>11</v>
      </c>
      <c r="F10" s="115">
        <f>+E10*(8*8)</f>
        <v>704</v>
      </c>
      <c r="G10" s="15"/>
      <c r="H10" s="28"/>
    </row>
    <row r="11" spans="2:8" ht="14" customHeight="1" x14ac:dyDescent="0.2">
      <c r="B11" s="13" t="s">
        <v>59</v>
      </c>
      <c r="C11" s="6"/>
      <c r="D11" s="6"/>
      <c r="E11" s="14">
        <v>11</v>
      </c>
      <c r="F11" s="115">
        <f>+E11*(6*8)</f>
        <v>528</v>
      </c>
      <c r="G11" s="15"/>
      <c r="H11" s="28"/>
    </row>
    <row r="12" spans="2:8" ht="14" customHeight="1" x14ac:dyDescent="0.2">
      <c r="B12" s="13" t="s">
        <v>63</v>
      </c>
      <c r="C12" s="6"/>
      <c r="D12" s="6"/>
      <c r="E12" s="114">
        <v>11</v>
      </c>
      <c r="F12" s="116">
        <f>E12*(5*8)</f>
        <v>440</v>
      </c>
      <c r="G12" s="15"/>
      <c r="H12" s="28"/>
    </row>
    <row r="13" spans="2:8" ht="14" customHeight="1" x14ac:dyDescent="0.2">
      <c r="B13" s="13" t="s">
        <v>123</v>
      </c>
      <c r="C13" s="6"/>
      <c r="D13" s="6"/>
      <c r="E13" s="14">
        <v>10</v>
      </c>
      <c r="F13" s="115">
        <f>+E13*(5*8)</f>
        <v>400</v>
      </c>
      <c r="G13" s="15"/>
      <c r="H13" s="28"/>
    </row>
    <row r="14" spans="2:8" x14ac:dyDescent="0.2">
      <c r="B14" s="13" t="s">
        <v>47</v>
      </c>
      <c r="C14" s="6"/>
      <c r="D14" s="6"/>
      <c r="E14" s="14">
        <v>11</v>
      </c>
      <c r="F14" s="115">
        <f>+E14*3*8</f>
        <v>264</v>
      </c>
      <c r="G14" s="15"/>
      <c r="H14" s="28"/>
    </row>
    <row r="15" spans="2:8" ht="15" thickBot="1" x14ac:dyDescent="0.25">
      <c r="B15" s="3" t="s">
        <v>6</v>
      </c>
      <c r="C15" s="4"/>
      <c r="D15" s="4"/>
      <c r="E15" s="4"/>
      <c r="F15" s="4"/>
      <c r="G15" s="22">
        <f>+SUM(G6:G14)</f>
        <v>0</v>
      </c>
      <c r="H15" s="69"/>
    </row>
    <row r="16" spans="2:8" ht="15" thickTop="1" x14ac:dyDescent="0.2">
      <c r="B16" s="8"/>
      <c r="C16" s="7"/>
      <c r="D16" s="7"/>
      <c r="E16" s="7"/>
      <c r="F16" s="7"/>
      <c r="G16" s="9"/>
      <c r="H16" s="70"/>
    </row>
    <row r="17" spans="2:10" x14ac:dyDescent="0.2">
      <c r="B17" s="113"/>
      <c r="C17" s="113"/>
      <c r="D17" s="113"/>
      <c r="E17" s="113"/>
      <c r="F17" s="113"/>
      <c r="G17" s="113"/>
      <c r="H17" s="113"/>
      <c r="I17" s="2"/>
      <c r="J17" s="70"/>
    </row>
  </sheetData>
  <mergeCells count="3">
    <mergeCell ref="B17:H17"/>
    <mergeCell ref="B4:H4"/>
    <mergeCell ref="B3:H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K17"/>
  <sheetViews>
    <sheetView topLeftCell="A2" zoomScale="120" zoomScaleNormal="120" workbookViewId="0">
      <selection activeCell="I23" sqref="I23"/>
    </sheetView>
  </sheetViews>
  <sheetFormatPr baseColWidth="10" defaultColWidth="9" defaultRowHeight="14" x14ac:dyDescent="0.2"/>
  <cols>
    <col min="1" max="1" width="27.33203125" style="5" bestFit="1" customWidth="1"/>
    <col min="2" max="2" width="48" style="5" bestFit="1" customWidth="1"/>
    <col min="3" max="3" width="10.83203125" style="5" bestFit="1" customWidth="1"/>
    <col min="4" max="4" width="14.83203125" style="5" bestFit="1" customWidth="1"/>
    <col min="5" max="5" width="10.83203125" style="5" bestFit="1" customWidth="1"/>
    <col min="6" max="6" width="12.5" style="5" bestFit="1" customWidth="1"/>
    <col min="7" max="7" width="14.1640625" style="5" bestFit="1" customWidth="1"/>
    <col min="8" max="8" width="17.33203125" style="5" bestFit="1" customWidth="1"/>
    <col min="9" max="9" width="19.83203125" style="5" bestFit="1" customWidth="1"/>
    <col min="10" max="10" width="12.1640625" style="5" bestFit="1" customWidth="1"/>
    <col min="11" max="16384" width="9" style="5"/>
  </cols>
  <sheetData>
    <row r="1" spans="1:11" x14ac:dyDescent="0.2">
      <c r="A1" s="71"/>
      <c r="B1" s="19"/>
      <c r="C1" s="19"/>
      <c r="D1" s="19"/>
      <c r="E1" s="19"/>
      <c r="F1" s="19"/>
      <c r="G1" s="19"/>
      <c r="H1" s="19"/>
      <c r="I1" s="19"/>
      <c r="J1" s="19"/>
      <c r="K1" s="72"/>
    </row>
    <row r="2" spans="1:11" ht="32" customHeight="1" x14ac:dyDescent="0.2">
      <c r="A2" s="71"/>
      <c r="B2" s="101" t="s">
        <v>96</v>
      </c>
      <c r="C2" s="101" t="s">
        <v>35</v>
      </c>
      <c r="D2" s="101" t="s">
        <v>52</v>
      </c>
      <c r="E2" s="101" t="s">
        <v>9</v>
      </c>
      <c r="F2" s="101" t="s">
        <v>10</v>
      </c>
      <c r="G2" s="101" t="s">
        <v>38</v>
      </c>
      <c r="H2" s="101" t="s">
        <v>14</v>
      </c>
      <c r="I2" s="101" t="s">
        <v>58</v>
      </c>
      <c r="J2" s="101" t="s">
        <v>34</v>
      </c>
      <c r="K2" s="60"/>
    </row>
    <row r="3" spans="1:11" ht="13" customHeight="1" x14ac:dyDescent="0.2">
      <c r="A3" s="73"/>
      <c r="B3" s="21"/>
      <c r="C3" s="74"/>
      <c r="D3" s="75"/>
      <c r="E3" s="76"/>
      <c r="F3" s="77"/>
      <c r="G3" s="78"/>
      <c r="H3" s="18"/>
      <c r="I3" s="18"/>
      <c r="J3" s="18"/>
      <c r="K3" s="79"/>
    </row>
    <row r="4" spans="1:11" x14ac:dyDescent="0.2">
      <c r="A4" s="73"/>
      <c r="B4" s="80"/>
      <c r="C4" s="81"/>
      <c r="D4" s="82"/>
      <c r="E4" s="83"/>
      <c r="F4" s="84"/>
      <c r="G4" s="85"/>
      <c r="H4" s="86"/>
      <c r="I4" s="86"/>
      <c r="J4" s="86"/>
      <c r="K4" s="79"/>
    </row>
    <row r="5" spans="1:11" x14ac:dyDescent="0.2">
      <c r="A5" s="73"/>
      <c r="B5" s="21"/>
      <c r="C5" s="74"/>
      <c r="D5" s="87"/>
      <c r="E5" s="88"/>
      <c r="F5" s="77"/>
      <c r="G5" s="78"/>
      <c r="H5" s="18"/>
      <c r="I5" s="18"/>
      <c r="J5" s="18"/>
      <c r="K5" s="79"/>
    </row>
    <row r="6" spans="1:11" x14ac:dyDescent="0.2">
      <c r="A6" s="73"/>
      <c r="B6" s="80"/>
      <c r="C6" s="89"/>
      <c r="D6" s="90"/>
      <c r="E6" s="83"/>
      <c r="F6" s="84"/>
      <c r="G6" s="85"/>
      <c r="H6" s="86"/>
      <c r="I6" s="86"/>
      <c r="J6" s="86"/>
      <c r="K6" s="79"/>
    </row>
    <row r="7" spans="1:11" x14ac:dyDescent="0.2">
      <c r="A7" s="73"/>
      <c r="B7" s="21"/>
      <c r="D7" s="87"/>
      <c r="E7" s="91"/>
      <c r="F7" s="77"/>
      <c r="G7" s="78"/>
      <c r="H7" s="18"/>
      <c r="I7" s="18"/>
      <c r="J7" s="18"/>
      <c r="K7" s="79"/>
    </row>
    <row r="8" spans="1:11" x14ac:dyDescent="0.2">
      <c r="A8" s="71"/>
      <c r="B8" s="80"/>
      <c r="C8" s="89"/>
      <c r="D8" s="90"/>
      <c r="E8" s="83"/>
      <c r="F8" s="84"/>
      <c r="G8" s="85"/>
      <c r="H8" s="86"/>
      <c r="I8" s="86"/>
      <c r="J8" s="86"/>
      <c r="K8" s="79"/>
    </row>
    <row r="9" spans="1:11" x14ac:dyDescent="0.2">
      <c r="A9" s="19"/>
      <c r="B9" s="21"/>
      <c r="C9" s="74"/>
      <c r="D9" s="75"/>
      <c r="E9" s="76"/>
      <c r="F9" s="77"/>
      <c r="G9" s="78"/>
      <c r="H9" s="18"/>
      <c r="I9" s="92"/>
      <c r="J9" s="18"/>
      <c r="K9" s="79"/>
    </row>
    <row r="10" spans="1:11" x14ac:dyDescent="0.2">
      <c r="A10" s="71"/>
      <c r="B10" s="80"/>
      <c r="C10" s="89"/>
      <c r="D10" s="81"/>
      <c r="E10" s="83"/>
      <c r="F10" s="84"/>
      <c r="G10" s="86"/>
      <c r="H10" s="86"/>
      <c r="I10" s="86"/>
      <c r="J10" s="86"/>
      <c r="K10" s="79"/>
    </row>
    <row r="11" spans="1:11" x14ac:dyDescent="0.2">
      <c r="A11" s="71"/>
      <c r="B11" s="21"/>
      <c r="C11" s="74"/>
      <c r="D11" s="93"/>
      <c r="E11" s="88"/>
      <c r="F11" s="77"/>
      <c r="G11" s="18"/>
      <c r="H11" s="18"/>
      <c r="I11" s="18"/>
      <c r="J11" s="18"/>
      <c r="K11" s="79"/>
    </row>
    <row r="12" spans="1:11" x14ac:dyDescent="0.2">
      <c r="A12" s="19"/>
      <c r="B12" s="80"/>
      <c r="C12" s="89"/>
      <c r="D12" s="81"/>
      <c r="E12" s="83"/>
      <c r="F12" s="94"/>
      <c r="G12" s="86"/>
      <c r="H12" s="86"/>
      <c r="I12" s="86"/>
      <c r="J12" s="86"/>
      <c r="K12" s="18"/>
    </row>
    <row r="13" spans="1:11" x14ac:dyDescent="0.2">
      <c r="A13" s="19"/>
      <c r="B13" s="21"/>
      <c r="C13" s="19"/>
      <c r="D13" s="95"/>
      <c r="E13" s="36"/>
      <c r="G13" s="19"/>
      <c r="H13" s="19"/>
      <c r="I13" s="19"/>
      <c r="J13" s="19"/>
      <c r="K13" s="19"/>
    </row>
    <row r="14" spans="1:11" x14ac:dyDescent="0.2">
      <c r="B14" s="96"/>
      <c r="C14" s="97"/>
      <c r="D14" s="98"/>
      <c r="E14" s="98"/>
      <c r="F14" s="97"/>
      <c r="G14" s="97"/>
      <c r="H14" s="97"/>
      <c r="I14" s="97"/>
      <c r="J14" s="97"/>
    </row>
    <row r="15" spans="1:11" x14ac:dyDescent="0.2">
      <c r="B15" s="99"/>
      <c r="D15" s="100"/>
      <c r="E15" s="91"/>
    </row>
    <row r="16" spans="1:11" x14ac:dyDescent="0.2">
      <c r="B16" s="96"/>
      <c r="C16" s="97"/>
      <c r="D16" s="98"/>
      <c r="E16" s="98"/>
      <c r="F16" s="97"/>
      <c r="G16" s="97"/>
      <c r="H16" s="97"/>
      <c r="I16" s="97"/>
      <c r="J16" s="97"/>
    </row>
    <row r="17" spans="2:5" x14ac:dyDescent="0.2">
      <c r="B17" s="99"/>
      <c r="D17" s="91"/>
      <c r="E17" s="91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31"/>
  <sheetViews>
    <sheetView workbookViewId="0">
      <selection activeCell="F13" sqref="F13"/>
    </sheetView>
  </sheetViews>
  <sheetFormatPr baseColWidth="10" defaultRowHeight="14" x14ac:dyDescent="0.2"/>
  <cols>
    <col min="1" max="1" width="17.6640625" style="5" bestFit="1" customWidth="1"/>
    <col min="2" max="2" width="10.83203125" style="5"/>
    <col min="3" max="3" width="13.1640625" style="5" bestFit="1" customWidth="1"/>
    <col min="4" max="4" width="10.83203125" style="5"/>
    <col min="5" max="5" width="22.33203125" style="5" bestFit="1" customWidth="1"/>
    <col min="6" max="6" width="18.6640625" style="5" bestFit="1" customWidth="1"/>
    <col min="7" max="7" width="16.33203125" style="5" bestFit="1" customWidth="1"/>
    <col min="8" max="8" width="8.1640625" style="5" bestFit="1" customWidth="1"/>
    <col min="9" max="9" width="17.6640625" style="5" bestFit="1" customWidth="1"/>
    <col min="10" max="10" width="10.83203125" style="5"/>
    <col min="11" max="11" width="13.83203125" style="5" bestFit="1" customWidth="1"/>
    <col min="12" max="12" width="19.83203125" style="5" customWidth="1"/>
    <col min="13" max="16384" width="10.83203125" style="5"/>
  </cols>
  <sheetData>
    <row r="6" spans="1:12" ht="15" thickBot="1" x14ac:dyDescent="0.25">
      <c r="B6" s="103"/>
      <c r="C6" s="103" t="s">
        <v>25</v>
      </c>
      <c r="D6" s="103" t="s">
        <v>18</v>
      </c>
      <c r="E6" s="103" t="s">
        <v>26</v>
      </c>
      <c r="F6" s="103" t="s">
        <v>29</v>
      </c>
      <c r="G6" s="103" t="s">
        <v>27</v>
      </c>
      <c r="H6" s="103"/>
      <c r="I6" s="103" t="s">
        <v>28</v>
      </c>
      <c r="J6" s="103" t="s">
        <v>21</v>
      </c>
      <c r="K6" s="103" t="s">
        <v>36</v>
      </c>
      <c r="L6" s="103" t="s">
        <v>31</v>
      </c>
    </row>
    <row r="7" spans="1:12" ht="15" thickTop="1" x14ac:dyDescent="0.2">
      <c r="B7" s="5" t="s">
        <v>16</v>
      </c>
      <c r="C7" s="5">
        <v>166.95</v>
      </c>
      <c r="D7" s="5">
        <f>+B15*B16</f>
        <v>3600</v>
      </c>
      <c r="E7" s="5">
        <v>14363</v>
      </c>
      <c r="F7" s="5">
        <f>E7-D7</f>
        <v>10763</v>
      </c>
      <c r="G7" s="5">
        <f>C7-B16</f>
        <v>126.94999999999999</v>
      </c>
      <c r="H7" s="5">
        <f>G7*$B$14</f>
        <v>9521.25</v>
      </c>
      <c r="I7" s="5">
        <f>F7-H7</f>
        <v>1241.75</v>
      </c>
      <c r="J7" s="23">
        <f>I7*$B$13</f>
        <v>62.087500000000006</v>
      </c>
      <c r="K7" s="20">
        <f>J7/G7</f>
        <v>0.48907050019692799</v>
      </c>
      <c r="L7" s="26">
        <f>C7-B16</f>
        <v>126.94999999999999</v>
      </c>
    </row>
    <row r="8" spans="1:12" ht="17" customHeight="1" x14ac:dyDescent="0.2">
      <c r="B8" s="5" t="s">
        <v>17</v>
      </c>
      <c r="C8" s="5">
        <v>159.80000000000001</v>
      </c>
      <c r="D8" s="5">
        <f>$B$15*B17</f>
        <v>3600</v>
      </c>
      <c r="E8" s="5">
        <v>15523</v>
      </c>
      <c r="F8" s="5">
        <f t="shared" ref="F8" si="0">E8-D8</f>
        <v>11923</v>
      </c>
      <c r="G8" s="5">
        <f t="shared" ref="G8" si="1">C8-B17</f>
        <v>119.80000000000001</v>
      </c>
      <c r="H8" s="5">
        <f t="shared" ref="H8" si="2">G8*$B$14</f>
        <v>8985</v>
      </c>
      <c r="I8" s="5">
        <f>F8-H8</f>
        <v>2938</v>
      </c>
      <c r="J8" s="23">
        <f t="shared" ref="J8" si="3">I8*$B$13</f>
        <v>146.9</v>
      </c>
      <c r="K8" s="25">
        <f>J8/G8</f>
        <v>1.2262103505843072</v>
      </c>
      <c r="L8" s="26">
        <f>C8-B17</f>
        <v>119.80000000000001</v>
      </c>
    </row>
    <row r="9" spans="1:12" ht="17" customHeight="1" x14ac:dyDescent="0.2">
      <c r="E9" s="5" t="s">
        <v>54</v>
      </c>
      <c r="J9" s="23"/>
      <c r="K9" s="25"/>
      <c r="L9" s="26"/>
    </row>
    <row r="10" spans="1:12" ht="17" customHeight="1" x14ac:dyDescent="0.2">
      <c r="J10" s="23"/>
      <c r="K10" s="25"/>
      <c r="L10" s="26"/>
    </row>
    <row r="12" spans="1:12" x14ac:dyDescent="0.2">
      <c r="A12" s="102" t="s">
        <v>108</v>
      </c>
    </row>
    <row r="13" spans="1:12" x14ac:dyDescent="0.2">
      <c r="A13" s="5" t="s">
        <v>22</v>
      </c>
      <c r="B13" s="5">
        <v>0.05</v>
      </c>
    </row>
    <row r="14" spans="1:12" x14ac:dyDescent="0.2">
      <c r="A14" s="5" t="s">
        <v>23</v>
      </c>
      <c r="B14" s="5">
        <v>75</v>
      </c>
    </row>
    <row r="15" spans="1:12" x14ac:dyDescent="0.2">
      <c r="A15" s="5" t="s">
        <v>24</v>
      </c>
      <c r="B15" s="5">
        <v>90</v>
      </c>
    </row>
    <row r="16" spans="1:12" x14ac:dyDescent="0.2">
      <c r="A16" s="61" t="s">
        <v>20</v>
      </c>
      <c r="B16" s="5">
        <v>40</v>
      </c>
      <c r="C16" s="5" t="s">
        <v>53</v>
      </c>
    </row>
    <row r="17" spans="1:7" x14ac:dyDescent="0.2">
      <c r="A17" s="61" t="s">
        <v>19</v>
      </c>
      <c r="B17" s="5">
        <v>40</v>
      </c>
    </row>
    <row r="18" spans="1:7" x14ac:dyDescent="0.2">
      <c r="A18" s="61"/>
      <c r="B18" s="5">
        <v>0</v>
      </c>
    </row>
    <row r="19" spans="1:7" x14ac:dyDescent="0.2">
      <c r="A19" s="5" t="s">
        <v>32</v>
      </c>
      <c r="B19" s="5">
        <v>0</v>
      </c>
    </row>
    <row r="23" spans="1:7" x14ac:dyDescent="0.2">
      <c r="B23" s="5">
        <f>5*20</f>
        <v>100</v>
      </c>
    </row>
    <row r="24" spans="1:7" x14ac:dyDescent="0.2">
      <c r="E24" s="5">
        <v>116.54</v>
      </c>
    </row>
    <row r="25" spans="1:7" x14ac:dyDescent="0.2">
      <c r="E25" s="5">
        <f>+E24*75</f>
        <v>8740.5</v>
      </c>
    </row>
    <row r="26" spans="1:7" x14ac:dyDescent="0.2">
      <c r="E26" s="5">
        <v>11119</v>
      </c>
      <c r="F26" s="5">
        <f>(E26-E25)*0.05</f>
        <v>118.92500000000001</v>
      </c>
      <c r="G26" s="5">
        <f>F26-50</f>
        <v>68.925000000000011</v>
      </c>
    </row>
    <row r="27" spans="1:7" x14ac:dyDescent="0.2">
      <c r="F27" s="5">
        <f>+F2</f>
        <v>0</v>
      </c>
    </row>
    <row r="31" spans="1:7" x14ac:dyDescent="0.2">
      <c r="G31" s="5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48A-64D3-B54D-8DDF-F1500835E6A5}">
  <dimension ref="A1"/>
  <sheetViews>
    <sheetView topLeftCell="B1" zoomScaleNormal="100" workbookViewId="0">
      <selection activeCell="L36" sqref="L36"/>
    </sheetView>
  </sheetViews>
  <sheetFormatPr baseColWidth="10" defaultRowHeight="16" x14ac:dyDescent="0.2"/>
  <cols>
    <col min="1" max="16384" width="10.8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 </vt:lpstr>
      <vt:lpstr>Timesheet </vt:lpstr>
      <vt:lpstr>Holiday notes </vt:lpstr>
      <vt:lpstr>Starter checklist </vt:lpstr>
      <vt:lpstr>Dumpling Bonus </vt:lpstr>
      <vt:lpstr>new</vt:lpstr>
      <vt:lpstr>'Holiday notes 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2024-04-22T11:18:24Z</dcterms:modified>
</cp:coreProperties>
</file>