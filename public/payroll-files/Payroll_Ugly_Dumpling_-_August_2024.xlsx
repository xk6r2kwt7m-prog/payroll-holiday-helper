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2F924A82-0FDF-8F48-84F7-88B6A2684B51}" xr6:coauthVersionLast="47" xr6:coauthVersionMax="47" xr10:uidLastSave="{00000000-0000-0000-0000-000000000000}"/>
  <bookViews>
    <workbookView xWindow="-60" yWindow="6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7" i="9" l="1"/>
  <c r="J40" i="9"/>
  <c r="I31" i="9"/>
  <c r="K31" i="9"/>
  <c r="G11" i="2"/>
  <c r="G10" i="2"/>
  <c r="G9" i="2"/>
  <c r="G7" i="2"/>
  <c r="G6" i="2"/>
  <c r="G8" i="2"/>
  <c r="J42" i="9"/>
  <c r="J29" i="9"/>
  <c r="K29" i="9" s="1"/>
  <c r="K36" i="9"/>
  <c r="K20" i="9"/>
  <c r="K22" i="9"/>
  <c r="K23" i="9"/>
  <c r="K24" i="9"/>
  <c r="K25" i="9"/>
  <c r="K26" i="9"/>
  <c r="K27" i="9"/>
  <c r="K28" i="9"/>
  <c r="K30" i="9"/>
  <c r="K32" i="9"/>
  <c r="K33" i="9"/>
  <c r="K34" i="9"/>
  <c r="K35" i="9"/>
  <c r="K38" i="9"/>
  <c r="K21" i="9"/>
  <c r="I34" i="9"/>
  <c r="K19" i="9"/>
  <c r="K18" i="9"/>
  <c r="K17" i="9"/>
  <c r="G9" i="6" l="1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44" i="9" l="1"/>
  <c r="K16" i="9" l="1"/>
  <c r="K15" i="9"/>
  <c r="K7" i="9"/>
  <c r="K14" i="9"/>
  <c r="B4" i="3" l="1"/>
  <c r="K43" i="9"/>
  <c r="H44" i="9"/>
  <c r="K39" i="9"/>
  <c r="K41" i="9"/>
  <c r="K8" i="9"/>
  <c r="K9" i="9"/>
  <c r="K10" i="9"/>
  <c r="K12" i="9"/>
  <c r="K13" i="9"/>
  <c r="K42" i="9"/>
  <c r="K11" i="9"/>
  <c r="D7" i="6"/>
  <c r="D9" i="6"/>
  <c r="K44" i="9" l="1"/>
  <c r="C7" i="3" s="1"/>
  <c r="J44" i="9"/>
  <c r="B24" i="6" l="1"/>
  <c r="F28" i="6" l="1"/>
  <c r="E26" i="6"/>
  <c r="F27" i="6" s="1"/>
  <c r="G27" i="6" s="1"/>
  <c r="G13" i="2" l="1"/>
  <c r="C9" i="3" s="1"/>
  <c r="L7" i="6" l="1"/>
  <c r="F7" i="6" l="1"/>
  <c r="G7" i="6" l="1"/>
  <c r="H7" i="6" l="1"/>
  <c r="I7" i="6" l="1"/>
  <c r="J7" i="6" s="1"/>
  <c r="I44" i="9" l="1"/>
  <c r="C8" i="3" s="1"/>
  <c r="C10" i="3" l="1"/>
  <c r="K7" i="6"/>
</calcChain>
</file>

<file path=xl/sharedStrings.xml><?xml version="1.0" encoding="utf-8"?>
<sst xmlns="http://schemas.openxmlformats.org/spreadsheetml/2006/main" count="162" uniqueCount="149">
  <si>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</si>
  <si>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</si>
  <si>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</si>
  <si>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</si>
  <si>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</si>
  <si>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</si>
  <si>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</si>
  <si>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</si>
  <si>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</si>
  <si>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</si>
  <si>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</si>
  <si>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</si>
  <si>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</si>
  <si>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</si>
  <si>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</si>
  <si>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</si>
  <si>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</si>
  <si>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</si>
  <si>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</si>
  <si>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</si>
  <si>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</si>
  <si>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</si>
  <si>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</si>
  <si>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</si>
  <si>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</si>
  <si>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</si>
  <si>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</si>
  <si>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</si>
  <si>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</si>
  <si>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</si>
  <si>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</si>
  <si>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</si>
  <si>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</si>
  <si>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</si>
  <si>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</si>
  <si>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</si>
  <si>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</si>
  <si>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</si>
  <si>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</si>
  <si>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</si>
  <si>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</si>
  <si>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</si>
  <si>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</si>
  <si>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</si>
  <si>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</si>
  <si>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</si>
  <si>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</si>
  <si>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</si>
  <si>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</si>
  <si>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</si>
  <si>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</si>
  <si>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</si>
  <si>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</si>
  <si>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</si>
  <si>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</si>
  <si>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</si>
  <si>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</si>
  <si>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</si>
  <si>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</si>
  <si>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</si>
  <si>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</si>
  <si>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</si>
  <si>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</si>
  <si>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</si>
  <si>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</si>
  <si>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</si>
  <si>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</si>
  <si>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</si>
  <si>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</si>
  <si>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</si>
  <si>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</si>
  <si>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</si>
  <si>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</si>
  <si>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</si>
  <si>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</si>
  <si>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</si>
  <si>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</si>
  <si>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Rios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</si>
  <si>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</si>
  <si>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</si>
  <si>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</si>
  <si>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</si>
  <si>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</si>
  <si>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</si>
  <si>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</si>
  <si>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</si>
  <si>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</si>
  <si>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</si>
  <si>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</si>
  <si>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</si>
  <si>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</si>
  <si>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</si>
  <si>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</si>
  <si>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</si>
  <si>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</si>
  <si>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</si>
  <si>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</si>
  <si>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</si>
  <si>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</si>
  <si>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</si>
  <si>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</si>
  <si>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</si>
  <si>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</si>
  <si>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</si>
  <si>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</si>
  <si>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</si>
  <si>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</si>
  <si>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 xml:space="preserve">Sreeja </t>
  </si>
  <si>
    <t>Vadlapudi</t>
  </si>
  <si>
    <t xml:space="preserve">Olga </t>
  </si>
  <si>
    <t xml:space="preserve">Quilumba </t>
  </si>
  <si>
    <t>Kitty</t>
  </si>
  <si>
    <t xml:space="preserve">Fatima </t>
  </si>
  <si>
    <t xml:space="preserve">Ashraf </t>
  </si>
  <si>
    <t xml:space="preserve">Resid. Permit </t>
  </si>
  <si>
    <t xml:space="preserve">Starter </t>
  </si>
  <si>
    <t>Arun</t>
  </si>
  <si>
    <t xml:space="preserve">Thota </t>
  </si>
  <si>
    <t xml:space="preserve">starter </t>
  </si>
  <si>
    <t xml:space="preserve">Nikola </t>
  </si>
  <si>
    <t xml:space="preserve">Kian </t>
  </si>
  <si>
    <t xml:space="preserve">Dimple </t>
  </si>
  <si>
    <t>starter</t>
  </si>
  <si>
    <t xml:space="preserve">Guillermina </t>
  </si>
  <si>
    <t xml:space="preserve">Caraballo </t>
  </si>
  <si>
    <t xml:space="preserve">Borg </t>
  </si>
  <si>
    <t xml:space="preserve">Wiewiora </t>
  </si>
  <si>
    <t>Aris</t>
  </si>
  <si>
    <t xml:space="preserve">starter/Leaver </t>
  </si>
  <si>
    <t xml:space="preserve">Miama </t>
  </si>
  <si>
    <t xml:space="preserve">Miama Iddisah </t>
  </si>
  <si>
    <t>TJ527455D</t>
  </si>
  <si>
    <t>Rithwik  Godishala</t>
  </si>
  <si>
    <t>TH131048A</t>
  </si>
  <si>
    <t>71322031</t>
  </si>
  <si>
    <t>04.00.03</t>
  </si>
  <si>
    <t xml:space="preserve">leaver </t>
  </si>
  <si>
    <t>Iddisah</t>
  </si>
  <si>
    <t xml:space="preserve">Rithwik </t>
  </si>
  <si>
    <t>Godishala</t>
  </si>
  <si>
    <t>65164568</t>
  </si>
  <si>
    <t>77.40.32</t>
  </si>
  <si>
    <t>Lissette</t>
  </si>
  <si>
    <t xml:space="preserve">Eliana </t>
  </si>
  <si>
    <t xml:space="preserve">Sebastian </t>
  </si>
  <si>
    <t>SP613605B</t>
  </si>
  <si>
    <t>80555877</t>
  </si>
  <si>
    <t>04.00.04</t>
  </si>
  <si>
    <t>22nd of July to 25th of 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</si>
</sst>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2" borderId="24" xfId="0" applyFont="1" applyFill="1" applyBorder="1" applyAlignment="1">
      <alignment horizontal="center" vertical="center"/>
    </xf>
    <xf numFmtId="164" fontId="9" fillId="5" borderId="10" xfId="78" applyFont="1" applyFill="1" applyBorder="1" applyAlignment="1">
      <alignment horizontal="center" vertical="center"/>
    </xf>
    <xf numFmtId="164" fontId="9" fillId="2" borderId="0" xfId="78" applyFont="1" applyFill="1" applyBorder="1" applyAlignment="1">
      <alignment horizontal="center" vertical="center"/>
    </xf>
    <xf numFmtId="164" fontId="9" fillId="5" borderId="0" xfId="78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5</xdr:row>
      <xdr:rowOff>136800</xdr:rowOff>
    </xdr:from>
    <xdr:to>
      <xdr:col>3</xdr:col>
      <xdr:colOff>388980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K13" sqref="K13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1"/>
      <c r="C6" s="62" t="s">
        <v>7</v>
      </c>
    </row>
    <row r="7" spans="1:6" ht="17" thickTop="1" x14ac:dyDescent="0.2">
      <c r="B7" s="5" t="s">
        <v>96</v>
      </c>
      <c r="C7" s="10">
        <f>+'Timesheet '!K44</f>
        <v>67790.338700000008</v>
      </c>
    </row>
    <row r="8" spans="1:6" x14ac:dyDescent="0.2">
      <c r="B8" s="5" t="s">
        <v>46</v>
      </c>
      <c r="C8" s="10">
        <f>+'Timesheet '!I44+'Timesheet '!H44</f>
        <v>2401.1347999999998</v>
      </c>
    </row>
    <row r="9" spans="1:6" x14ac:dyDescent="0.2">
      <c r="B9" s="5" t="s">
        <v>95</v>
      </c>
      <c r="C9" s="10">
        <f>'Holiday notes '!G13</f>
        <v>7131.2</v>
      </c>
    </row>
    <row r="10" spans="1:6" ht="33" customHeight="1" thickBot="1" x14ac:dyDescent="0.25">
      <c r="B10" s="11" t="s">
        <v>8</v>
      </c>
      <c r="C10" s="17">
        <f>SUM(C7:C9)</f>
        <v>77322.673500000004</v>
      </c>
    </row>
    <row r="11" spans="1:6" ht="17" thickTop="1" x14ac:dyDescent="0.2">
      <c r="C11" s="99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44"/>
  <sheetViews>
    <sheetView tabSelected="1" zoomScale="110" zoomScaleNormal="110" workbookViewId="0">
      <selection activeCell="C3" sqref="C3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54" t="s">
        <v>91</v>
      </c>
      <c r="C2" s="19"/>
    </row>
    <row r="3" spans="2:12" x14ac:dyDescent="0.2">
      <c r="B3" s="55" t="s">
        <v>92</v>
      </c>
      <c r="C3" s="5" t="s">
        <v>148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56" t="s">
        <v>72</v>
      </c>
      <c r="C6" s="57" t="s">
        <v>88</v>
      </c>
      <c r="D6" s="57" t="s">
        <v>64</v>
      </c>
      <c r="E6" s="57" t="s">
        <v>63</v>
      </c>
      <c r="F6" s="57" t="s">
        <v>65</v>
      </c>
      <c r="G6" s="57" t="s">
        <v>68</v>
      </c>
      <c r="H6" s="57" t="s">
        <v>13</v>
      </c>
      <c r="I6" s="57" t="s">
        <v>69</v>
      </c>
      <c r="J6" s="57" t="s">
        <v>66</v>
      </c>
      <c r="K6" s="57" t="s">
        <v>67</v>
      </c>
      <c r="L6" s="58" t="s">
        <v>89</v>
      </c>
    </row>
    <row r="7" spans="2:12" ht="16" customHeight="1" x14ac:dyDescent="0.2">
      <c r="B7" s="103" t="s">
        <v>85</v>
      </c>
      <c r="C7" s="43"/>
      <c r="D7" s="37" t="s">
        <v>11</v>
      </c>
      <c r="E7" s="37" t="s">
        <v>70</v>
      </c>
      <c r="F7" s="44">
        <v>11.44</v>
      </c>
      <c r="G7" s="44">
        <v>4</v>
      </c>
      <c r="H7" s="44">
        <v>100</v>
      </c>
      <c r="I7" s="44"/>
      <c r="J7" s="44">
        <v>117.47</v>
      </c>
      <c r="K7" s="44">
        <f>+F7*J7+(G7*J7)+H7</f>
        <v>1913.7368000000001</v>
      </c>
      <c r="L7" s="45"/>
    </row>
    <row r="8" spans="2:12" x14ac:dyDescent="0.2">
      <c r="B8" s="104"/>
      <c r="C8" s="46"/>
      <c r="D8" s="38" t="s">
        <v>71</v>
      </c>
      <c r="E8" s="38" t="s">
        <v>73</v>
      </c>
      <c r="F8" s="47">
        <v>11.44</v>
      </c>
      <c r="G8" s="47">
        <v>2.5</v>
      </c>
      <c r="H8" s="47">
        <v>120</v>
      </c>
      <c r="I8" s="47"/>
      <c r="J8" s="47">
        <v>205.19</v>
      </c>
      <c r="K8" s="47">
        <f t="shared" ref="K8:K42" si="0">+F8*J8+(G8*J8)+H8</f>
        <v>2980.3485999999998</v>
      </c>
      <c r="L8" s="48"/>
    </row>
    <row r="9" spans="2:12" x14ac:dyDescent="0.2">
      <c r="B9" s="104"/>
      <c r="C9" s="46"/>
      <c r="D9" s="39" t="s">
        <v>42</v>
      </c>
      <c r="E9" s="39" t="s">
        <v>43</v>
      </c>
      <c r="F9" s="49">
        <v>10</v>
      </c>
      <c r="G9" s="49">
        <v>2</v>
      </c>
      <c r="H9" s="49">
        <v>50</v>
      </c>
      <c r="I9" s="49"/>
      <c r="J9" s="49">
        <v>163.43</v>
      </c>
      <c r="K9" s="49">
        <f t="shared" si="0"/>
        <v>2011.1600000000003</v>
      </c>
      <c r="L9" s="50"/>
    </row>
    <row r="10" spans="2:12" x14ac:dyDescent="0.2">
      <c r="B10" s="104"/>
      <c r="C10" s="46"/>
      <c r="D10" s="38" t="s">
        <v>61</v>
      </c>
      <c r="E10" s="38" t="s">
        <v>62</v>
      </c>
      <c r="F10" s="47">
        <v>10.44</v>
      </c>
      <c r="G10" s="47">
        <v>0.5</v>
      </c>
      <c r="H10" s="47"/>
      <c r="I10" s="47"/>
      <c r="J10" s="47">
        <v>167.22</v>
      </c>
      <c r="K10" s="47">
        <f t="shared" si="0"/>
        <v>1829.3867999999998</v>
      </c>
      <c r="L10" s="48"/>
    </row>
    <row r="11" spans="2:12" x14ac:dyDescent="0.2">
      <c r="B11" s="104"/>
      <c r="C11" s="46"/>
      <c r="D11" s="39" t="s">
        <v>58</v>
      </c>
      <c r="E11" s="39" t="s">
        <v>77</v>
      </c>
      <c r="F11" s="49">
        <v>11.5</v>
      </c>
      <c r="G11" s="49">
        <v>3.5</v>
      </c>
      <c r="H11" s="49">
        <v>100</v>
      </c>
      <c r="I11" s="49"/>
      <c r="J11" s="49">
        <v>216.4</v>
      </c>
      <c r="K11" s="49">
        <f t="shared" si="0"/>
        <v>3346</v>
      </c>
      <c r="L11" s="50"/>
    </row>
    <row r="12" spans="2:12" x14ac:dyDescent="0.2">
      <c r="B12" s="104"/>
      <c r="C12" s="46"/>
      <c r="D12" s="38" t="s">
        <v>47</v>
      </c>
      <c r="E12" s="38" t="s">
        <v>48</v>
      </c>
      <c r="F12" s="47">
        <v>11.42</v>
      </c>
      <c r="G12" s="47">
        <v>1</v>
      </c>
      <c r="H12" s="47">
        <v>50</v>
      </c>
      <c r="I12" s="47"/>
      <c r="J12" s="47">
        <v>162.09</v>
      </c>
      <c r="K12" s="47">
        <f t="shared" si="0"/>
        <v>2063.1578</v>
      </c>
      <c r="L12" s="48"/>
    </row>
    <row r="13" spans="2:12" x14ac:dyDescent="0.2">
      <c r="B13" s="104"/>
      <c r="C13" s="46"/>
      <c r="D13" s="39" t="s">
        <v>41</v>
      </c>
      <c r="E13" s="39" t="s">
        <v>78</v>
      </c>
      <c r="F13" s="49">
        <v>11.44</v>
      </c>
      <c r="G13" s="49">
        <v>1</v>
      </c>
      <c r="H13" s="49">
        <v>50</v>
      </c>
      <c r="I13" s="49"/>
      <c r="J13" s="49">
        <v>139.54</v>
      </c>
      <c r="K13" s="49">
        <f t="shared" si="0"/>
        <v>1785.8775999999998</v>
      </c>
      <c r="L13" s="50"/>
    </row>
    <row r="14" spans="2:12" x14ac:dyDescent="0.2">
      <c r="B14" s="104"/>
      <c r="C14" s="46"/>
      <c r="D14" s="38" t="s">
        <v>100</v>
      </c>
      <c r="E14" s="38" t="s">
        <v>101</v>
      </c>
      <c r="F14" s="47">
        <v>9.5</v>
      </c>
      <c r="G14" s="47">
        <v>0.5</v>
      </c>
      <c r="H14" s="47"/>
      <c r="I14" s="47"/>
      <c r="J14" s="47">
        <v>123.7</v>
      </c>
      <c r="K14" s="47">
        <f t="shared" si="0"/>
        <v>1237</v>
      </c>
      <c r="L14" s="48"/>
    </row>
    <row r="15" spans="2:12" ht="15" customHeight="1" x14ac:dyDescent="0.2">
      <c r="B15" s="105"/>
      <c r="C15" s="46"/>
      <c r="D15" s="39" t="s">
        <v>103</v>
      </c>
      <c r="E15" s="39" t="s">
        <v>104</v>
      </c>
      <c r="F15" s="49">
        <v>11.44</v>
      </c>
      <c r="G15" s="49">
        <v>0.5</v>
      </c>
      <c r="H15" s="49"/>
      <c r="I15" s="49"/>
      <c r="J15" s="49">
        <v>193.82</v>
      </c>
      <c r="K15" s="49">
        <f t="shared" si="0"/>
        <v>2314.2107999999998</v>
      </c>
      <c r="L15" s="50"/>
    </row>
    <row r="16" spans="2:12" ht="15" customHeight="1" x14ac:dyDescent="0.2">
      <c r="B16" s="105"/>
      <c r="C16" s="46"/>
      <c r="D16" s="38" t="s">
        <v>105</v>
      </c>
      <c r="E16" s="38" t="s">
        <v>106</v>
      </c>
      <c r="F16" s="47">
        <v>9.5</v>
      </c>
      <c r="G16" s="47">
        <v>1</v>
      </c>
      <c r="H16" s="47"/>
      <c r="I16" s="47"/>
      <c r="J16" s="47">
        <v>159.57</v>
      </c>
      <c r="K16" s="47">
        <f t="shared" si="0"/>
        <v>1675.4849999999999</v>
      </c>
      <c r="L16" s="48"/>
    </row>
    <row r="17" spans="2:12" ht="15" customHeight="1" x14ac:dyDescent="0.2">
      <c r="B17" s="105"/>
      <c r="C17" s="46"/>
      <c r="D17" s="39" t="s">
        <v>93</v>
      </c>
      <c r="E17" s="39" t="s">
        <v>94</v>
      </c>
      <c r="F17" s="49">
        <v>9.5</v>
      </c>
      <c r="G17" s="49">
        <v>0.5</v>
      </c>
      <c r="H17" s="49"/>
      <c r="I17" s="49"/>
      <c r="J17" s="49">
        <v>107.66</v>
      </c>
      <c r="K17" s="49">
        <f t="shared" ref="K17:K20" si="1">+F17*J17+(G17*J17)+H17</f>
        <v>1076.5999999999999</v>
      </c>
      <c r="L17" s="50"/>
    </row>
    <row r="18" spans="2:12" ht="15" customHeight="1" x14ac:dyDescent="0.2">
      <c r="B18" s="105"/>
      <c r="C18" s="46" t="s">
        <v>128</v>
      </c>
      <c r="D18" s="38" t="s">
        <v>119</v>
      </c>
      <c r="E18" s="38" t="s">
        <v>126</v>
      </c>
      <c r="F18" s="47">
        <v>8.5</v>
      </c>
      <c r="G18" s="47">
        <v>0.5</v>
      </c>
      <c r="H18" s="47"/>
      <c r="I18" s="47"/>
      <c r="J18" s="47">
        <v>30.1</v>
      </c>
      <c r="K18" s="47">
        <f t="shared" si="1"/>
        <v>270.90000000000003</v>
      </c>
      <c r="L18" s="48"/>
    </row>
    <row r="19" spans="2:12" ht="15" customHeight="1" x14ac:dyDescent="0.2">
      <c r="B19" s="105"/>
      <c r="C19" s="46" t="s">
        <v>136</v>
      </c>
      <c r="D19" s="39" t="s">
        <v>120</v>
      </c>
      <c r="E19" s="39" t="s">
        <v>125</v>
      </c>
      <c r="F19" s="49">
        <v>8.5</v>
      </c>
      <c r="G19" s="49">
        <v>0.5</v>
      </c>
      <c r="H19" s="49"/>
      <c r="I19" s="49"/>
      <c r="J19" s="49">
        <v>4.8499999999999996</v>
      </c>
      <c r="K19" s="49">
        <f t="shared" si="1"/>
        <v>43.649999999999991</v>
      </c>
      <c r="L19" s="50"/>
    </row>
    <row r="20" spans="2:12" ht="15" thickBot="1" x14ac:dyDescent="0.25">
      <c r="B20" s="105"/>
      <c r="C20" s="46" t="s">
        <v>122</v>
      </c>
      <c r="D20" s="38" t="s">
        <v>129</v>
      </c>
      <c r="E20" s="38" t="s">
        <v>137</v>
      </c>
      <c r="F20" s="47">
        <v>11.5</v>
      </c>
      <c r="G20" s="47">
        <v>0.5</v>
      </c>
      <c r="H20" s="47"/>
      <c r="I20" s="47"/>
      <c r="J20" s="47">
        <v>92.79</v>
      </c>
      <c r="K20" s="47">
        <f t="shared" si="1"/>
        <v>1113.48</v>
      </c>
      <c r="L20" s="48"/>
    </row>
    <row r="21" spans="2:12" x14ac:dyDescent="0.2">
      <c r="B21" s="103" t="s">
        <v>79</v>
      </c>
      <c r="C21" s="29"/>
      <c r="D21" s="40" t="s">
        <v>39</v>
      </c>
      <c r="E21" s="41" t="s">
        <v>40</v>
      </c>
      <c r="F21" s="51">
        <v>11.5</v>
      </c>
      <c r="G21" s="51">
        <v>2.25</v>
      </c>
      <c r="H21" s="51">
        <v>60</v>
      </c>
      <c r="I21" s="51"/>
      <c r="J21" s="51">
        <v>171.31</v>
      </c>
      <c r="K21" s="51">
        <f>+F21*J21+(G21*J21)+H21</f>
        <v>2415.5124999999998</v>
      </c>
      <c r="L21" s="52"/>
    </row>
    <row r="22" spans="2:12" x14ac:dyDescent="0.2">
      <c r="B22" s="104"/>
      <c r="C22" s="33"/>
      <c r="D22" s="35" t="s">
        <v>60</v>
      </c>
      <c r="E22" s="39" t="s">
        <v>37</v>
      </c>
      <c r="F22" s="49">
        <v>11.7</v>
      </c>
      <c r="G22" s="49">
        <v>2</v>
      </c>
      <c r="H22" s="49">
        <v>100</v>
      </c>
      <c r="I22" s="49"/>
      <c r="J22" s="49">
        <v>171.99</v>
      </c>
      <c r="K22" s="49">
        <f t="shared" ref="K22:K38" si="2">+F22*J22+(G22*J22)+H22</f>
        <v>2456.2629999999999</v>
      </c>
      <c r="L22" s="50"/>
    </row>
    <row r="23" spans="2:12" x14ac:dyDescent="0.2">
      <c r="B23" s="104"/>
      <c r="C23" s="33"/>
      <c r="D23" s="42" t="s">
        <v>59</v>
      </c>
      <c r="E23" s="38" t="s">
        <v>74</v>
      </c>
      <c r="F23" s="47">
        <v>11.44</v>
      </c>
      <c r="G23" s="47">
        <v>3</v>
      </c>
      <c r="H23" s="53">
        <v>60</v>
      </c>
      <c r="I23" s="47"/>
      <c r="J23" s="47">
        <v>94.24</v>
      </c>
      <c r="K23" s="47">
        <f t="shared" si="2"/>
        <v>1420.8255999999999</v>
      </c>
      <c r="L23" s="48"/>
    </row>
    <row r="24" spans="2:12" x14ac:dyDescent="0.2">
      <c r="B24" s="104"/>
      <c r="C24" s="33"/>
      <c r="D24" s="35" t="s">
        <v>52</v>
      </c>
      <c r="E24" s="39" t="s">
        <v>53</v>
      </c>
      <c r="F24" s="49">
        <v>11.5</v>
      </c>
      <c r="G24" s="49">
        <v>2</v>
      </c>
      <c r="H24" s="49"/>
      <c r="I24" s="49"/>
      <c r="J24" s="49">
        <v>0</v>
      </c>
      <c r="K24" s="49">
        <f t="shared" si="2"/>
        <v>0</v>
      </c>
      <c r="L24" s="50"/>
    </row>
    <row r="25" spans="2:12" x14ac:dyDescent="0.2">
      <c r="B25" s="104"/>
      <c r="C25" s="33"/>
      <c r="D25" s="42" t="s">
        <v>44</v>
      </c>
      <c r="E25" s="38" t="s">
        <v>45</v>
      </c>
      <c r="F25" s="47">
        <v>11.44</v>
      </c>
      <c r="G25" s="47">
        <v>1.5</v>
      </c>
      <c r="H25" s="47"/>
      <c r="I25" s="47"/>
      <c r="J25" s="47">
        <v>102.89</v>
      </c>
      <c r="K25" s="47">
        <f t="shared" si="2"/>
        <v>1331.3966</v>
      </c>
      <c r="L25" s="48"/>
    </row>
    <row r="26" spans="2:12" x14ac:dyDescent="0.2">
      <c r="B26" s="104"/>
      <c r="C26" s="33"/>
      <c r="D26" s="35" t="s">
        <v>80</v>
      </c>
      <c r="E26" s="39" t="s">
        <v>36</v>
      </c>
      <c r="F26" s="49">
        <v>11.44</v>
      </c>
      <c r="G26" s="49">
        <v>2</v>
      </c>
      <c r="H26" s="49"/>
      <c r="I26" s="49"/>
      <c r="J26" s="49">
        <v>105.4</v>
      </c>
      <c r="K26" s="49">
        <f t="shared" si="2"/>
        <v>1416.576</v>
      </c>
      <c r="L26" s="50"/>
    </row>
    <row r="27" spans="2:12" x14ac:dyDescent="0.2">
      <c r="B27" s="104"/>
      <c r="C27" s="33"/>
      <c r="D27" s="42" t="s">
        <v>90</v>
      </c>
      <c r="E27" s="38" t="s">
        <v>74</v>
      </c>
      <c r="F27" s="47">
        <v>11.5</v>
      </c>
      <c r="G27" s="53">
        <v>1.5</v>
      </c>
      <c r="H27" s="47"/>
      <c r="I27" s="47"/>
      <c r="J27" s="47">
        <v>144.78</v>
      </c>
      <c r="K27" s="47">
        <f t="shared" si="2"/>
        <v>1882.14</v>
      </c>
      <c r="L27" s="48"/>
    </row>
    <row r="28" spans="2:12" x14ac:dyDescent="0.2">
      <c r="B28" s="104"/>
      <c r="C28" s="33"/>
      <c r="D28" s="35" t="s">
        <v>81</v>
      </c>
      <c r="E28" s="39" t="s">
        <v>38</v>
      </c>
      <c r="F28" s="49">
        <v>13.5</v>
      </c>
      <c r="G28" s="49"/>
      <c r="H28" s="49">
        <v>100</v>
      </c>
      <c r="I28" s="49"/>
      <c r="J28" s="49">
        <v>272.67</v>
      </c>
      <c r="K28" s="49">
        <f t="shared" si="2"/>
        <v>3781.0450000000001</v>
      </c>
      <c r="L28" s="50"/>
    </row>
    <row r="29" spans="2:12" x14ac:dyDescent="0.2">
      <c r="B29" s="104"/>
      <c r="C29" s="33"/>
      <c r="D29" s="42" t="s">
        <v>75</v>
      </c>
      <c r="E29" s="38" t="s">
        <v>76</v>
      </c>
      <c r="F29" s="47">
        <v>10</v>
      </c>
      <c r="G29" s="47">
        <v>0.5</v>
      </c>
      <c r="H29" s="47"/>
      <c r="I29" s="47"/>
      <c r="J29" s="47">
        <f>137.21+27.57</f>
        <v>164.78</v>
      </c>
      <c r="K29" s="47">
        <f t="shared" si="2"/>
        <v>1730.19</v>
      </c>
      <c r="L29" s="48"/>
    </row>
    <row r="30" spans="2:12" x14ac:dyDescent="0.2">
      <c r="B30" s="104"/>
      <c r="C30" s="33"/>
      <c r="D30" s="35" t="s">
        <v>56</v>
      </c>
      <c r="E30" s="39" t="s">
        <v>57</v>
      </c>
      <c r="F30" s="49">
        <v>11.44</v>
      </c>
      <c r="G30" s="49">
        <v>1</v>
      </c>
      <c r="H30" s="49"/>
      <c r="I30" s="49"/>
      <c r="J30" s="49">
        <v>60.03</v>
      </c>
      <c r="K30" s="49">
        <f t="shared" si="2"/>
        <v>746.77319999999997</v>
      </c>
      <c r="L30" s="50"/>
    </row>
    <row r="31" spans="2:12" x14ac:dyDescent="0.2">
      <c r="B31" s="104"/>
      <c r="C31" s="33"/>
      <c r="D31" s="42" t="s">
        <v>82</v>
      </c>
      <c r="E31" s="38" t="s">
        <v>83</v>
      </c>
      <c r="F31" s="47">
        <v>11.44</v>
      </c>
      <c r="G31" s="47">
        <v>0.5</v>
      </c>
      <c r="H31" s="102"/>
      <c r="I31" s="102">
        <f>11.94*89.1</f>
        <v>1063.8539999999998</v>
      </c>
      <c r="J31" s="47">
        <v>100</v>
      </c>
      <c r="K31" s="47">
        <f t="shared" si="2"/>
        <v>1194</v>
      </c>
      <c r="L31" s="48">
        <v>189.1</v>
      </c>
    </row>
    <row r="32" spans="2:12" x14ac:dyDescent="0.2">
      <c r="B32" s="104"/>
      <c r="C32" s="33"/>
      <c r="D32" s="35" t="s">
        <v>107</v>
      </c>
      <c r="E32" s="39" t="s">
        <v>108</v>
      </c>
      <c r="F32" s="49">
        <v>11.5</v>
      </c>
      <c r="G32" s="49">
        <v>0.5</v>
      </c>
      <c r="H32" s="49"/>
      <c r="I32" s="49">
        <v>100</v>
      </c>
      <c r="J32" s="49">
        <v>305.49</v>
      </c>
      <c r="K32" s="49">
        <f t="shared" si="2"/>
        <v>3665.88</v>
      </c>
      <c r="L32" s="50"/>
    </row>
    <row r="33" spans="2:12" x14ac:dyDescent="0.2">
      <c r="B33" s="105"/>
      <c r="C33" s="33"/>
      <c r="D33" s="42" t="s">
        <v>109</v>
      </c>
      <c r="E33" s="38" t="s">
        <v>110</v>
      </c>
      <c r="F33" s="47">
        <v>11.44</v>
      </c>
      <c r="G33" s="47">
        <v>1.5</v>
      </c>
      <c r="H33" s="47"/>
      <c r="I33" s="47"/>
      <c r="J33" s="47">
        <v>134.04</v>
      </c>
      <c r="K33" s="47">
        <f t="shared" si="2"/>
        <v>1734.4775999999997</v>
      </c>
      <c r="L33" s="48"/>
    </row>
    <row r="34" spans="2:12" x14ac:dyDescent="0.2">
      <c r="B34" s="105"/>
      <c r="D34" s="35" t="s">
        <v>116</v>
      </c>
      <c r="E34" s="39" t="s">
        <v>117</v>
      </c>
      <c r="F34" s="49">
        <v>11.44</v>
      </c>
      <c r="G34" s="49">
        <v>1</v>
      </c>
      <c r="H34" s="49"/>
      <c r="I34" s="49">
        <f>7.82*12.44</f>
        <v>97.280799999999999</v>
      </c>
      <c r="J34" s="49">
        <v>171.91</v>
      </c>
      <c r="K34" s="49">
        <f t="shared" si="2"/>
        <v>2138.5603999999998</v>
      </c>
      <c r="L34" s="50"/>
    </row>
    <row r="35" spans="2:12" x14ac:dyDescent="0.2">
      <c r="B35" s="105"/>
      <c r="C35" s="33" t="s">
        <v>136</v>
      </c>
      <c r="D35" s="42" t="s">
        <v>123</v>
      </c>
      <c r="E35" s="38" t="s">
        <v>124</v>
      </c>
      <c r="F35" s="47">
        <v>11.5</v>
      </c>
      <c r="G35" s="47">
        <v>1.5</v>
      </c>
      <c r="H35" s="47"/>
      <c r="I35" s="47"/>
      <c r="J35" s="47">
        <v>10.029999999999999</v>
      </c>
      <c r="K35" s="47">
        <f t="shared" si="2"/>
        <v>130.38999999999999</v>
      </c>
      <c r="L35" s="48"/>
    </row>
    <row r="36" spans="2:12" x14ac:dyDescent="0.2">
      <c r="B36" s="105"/>
      <c r="C36" s="33" t="s">
        <v>118</v>
      </c>
      <c r="D36" s="35" t="s">
        <v>138</v>
      </c>
      <c r="E36" s="39" t="s">
        <v>139</v>
      </c>
      <c r="F36" s="49">
        <v>11.5</v>
      </c>
      <c r="G36" s="49">
        <v>0.5</v>
      </c>
      <c r="H36" s="49"/>
      <c r="I36" s="49"/>
      <c r="J36" s="49">
        <v>150.11000000000001</v>
      </c>
      <c r="K36" s="49">
        <f t="shared" si="2"/>
        <v>1801.3200000000002</v>
      </c>
      <c r="L36" s="50"/>
    </row>
    <row r="37" spans="2:12" x14ac:dyDescent="0.2">
      <c r="B37" s="105"/>
      <c r="C37" s="33" t="s">
        <v>115</v>
      </c>
      <c r="D37" s="42" t="s">
        <v>143</v>
      </c>
      <c r="E37" s="38" t="s">
        <v>144</v>
      </c>
      <c r="F37" s="47">
        <v>11.5</v>
      </c>
      <c r="G37" s="47">
        <v>0.5</v>
      </c>
      <c r="H37" s="47"/>
      <c r="I37" s="47"/>
      <c r="J37" s="47">
        <v>128.99</v>
      </c>
      <c r="K37" s="47">
        <f>+F37*J37+(G37*J37)+H37</f>
        <v>1547.88</v>
      </c>
      <c r="L37" s="48"/>
    </row>
    <row r="38" spans="2:12" ht="15" thickBot="1" x14ac:dyDescent="0.25">
      <c r="B38" s="105"/>
      <c r="C38" s="33"/>
      <c r="D38" s="35" t="s">
        <v>98</v>
      </c>
      <c r="E38" s="39" t="s">
        <v>99</v>
      </c>
      <c r="F38" s="49">
        <v>11.5</v>
      </c>
      <c r="G38" s="49">
        <v>2</v>
      </c>
      <c r="H38" s="49">
        <v>100</v>
      </c>
      <c r="I38" s="49"/>
      <c r="J38" s="49">
        <v>260.91000000000003</v>
      </c>
      <c r="K38" s="49">
        <f t="shared" si="2"/>
        <v>3622.2850000000003</v>
      </c>
      <c r="L38" s="50"/>
    </row>
    <row r="39" spans="2:12" x14ac:dyDescent="0.2">
      <c r="B39" s="103" t="s">
        <v>102</v>
      </c>
      <c r="C39" s="29"/>
      <c r="D39" s="40" t="s">
        <v>112</v>
      </c>
      <c r="E39" s="41" t="s">
        <v>113</v>
      </c>
      <c r="F39" s="51">
        <v>11.44</v>
      </c>
      <c r="G39" s="51"/>
      <c r="H39" s="51">
        <v>90</v>
      </c>
      <c r="I39" s="51"/>
      <c r="J39" s="111">
        <v>218.67</v>
      </c>
      <c r="K39" s="51">
        <f t="shared" si="0"/>
        <v>2591.5847999999996</v>
      </c>
      <c r="L39" s="52"/>
    </row>
    <row r="40" spans="2:12" x14ac:dyDescent="0.2">
      <c r="B40" s="110"/>
      <c r="C40" s="33"/>
      <c r="D40" s="35" t="s">
        <v>121</v>
      </c>
      <c r="E40" s="39" t="s">
        <v>121</v>
      </c>
      <c r="F40" s="49">
        <v>11.44</v>
      </c>
      <c r="G40" s="49"/>
      <c r="H40" s="49"/>
      <c r="I40" s="49"/>
      <c r="J40" s="112">
        <f>218.14+20</f>
        <v>238.14</v>
      </c>
      <c r="K40" s="49"/>
      <c r="L40" s="50"/>
    </row>
    <row r="41" spans="2:12" x14ac:dyDescent="0.2">
      <c r="B41" s="104"/>
      <c r="C41" s="33"/>
      <c r="D41" s="42" t="s">
        <v>28</v>
      </c>
      <c r="E41" s="38" t="s">
        <v>84</v>
      </c>
      <c r="F41" s="47">
        <v>11.44</v>
      </c>
      <c r="G41" s="47"/>
      <c r="H41" s="47"/>
      <c r="I41" s="47">
        <v>80</v>
      </c>
      <c r="J41" s="113">
        <v>241.61</v>
      </c>
      <c r="K41" s="47">
        <f>+F41*J41+(G41*J41)+H41+I41</f>
        <v>2844.0183999999999</v>
      </c>
      <c r="L41" s="48"/>
    </row>
    <row r="42" spans="2:12" x14ac:dyDescent="0.2">
      <c r="B42" s="104"/>
      <c r="C42" s="33"/>
      <c r="D42" s="35" t="s">
        <v>30</v>
      </c>
      <c r="E42" s="39" t="s">
        <v>31</v>
      </c>
      <c r="F42" s="49">
        <v>11.44</v>
      </c>
      <c r="G42" s="49"/>
      <c r="H42" s="49"/>
      <c r="I42" s="49">
        <v>80</v>
      </c>
      <c r="J42" s="112">
        <f>290.38+8</f>
        <v>298.38</v>
      </c>
      <c r="K42" s="49">
        <f t="shared" si="0"/>
        <v>3413.4671999999996</v>
      </c>
      <c r="L42" s="50"/>
    </row>
    <row r="43" spans="2:12" ht="15" thickBot="1" x14ac:dyDescent="0.25">
      <c r="B43" s="106"/>
      <c r="C43" s="34"/>
      <c r="D43" s="42" t="s">
        <v>14</v>
      </c>
      <c r="E43" s="38" t="s">
        <v>14</v>
      </c>
      <c r="F43" s="47">
        <v>11.5</v>
      </c>
      <c r="G43" s="47">
        <v>2</v>
      </c>
      <c r="H43" s="47"/>
      <c r="I43" s="47"/>
      <c r="J43" s="113">
        <v>167.76</v>
      </c>
      <c r="K43" s="47">
        <f>+F43*J43+(G43*J43)+H43</f>
        <v>2264.7599999999998</v>
      </c>
      <c r="L43" s="48"/>
    </row>
    <row r="44" spans="2:12" ht="26" customHeight="1" thickBot="1" x14ac:dyDescent="0.25">
      <c r="B44" s="107" t="s">
        <v>86</v>
      </c>
      <c r="C44" s="108"/>
      <c r="D44" s="97"/>
      <c r="E44" s="59"/>
      <c r="F44" s="60">
        <f>+AVERAGE(F7:F43)</f>
        <v>11.098918918918917</v>
      </c>
      <c r="G44" s="59"/>
      <c r="H44" s="60">
        <f>+SUM(H7:H43)</f>
        <v>980</v>
      </c>
      <c r="I44" s="59">
        <f>+SUM(I7:I43)</f>
        <v>1421.1347999999998</v>
      </c>
      <c r="J44" s="59">
        <f>+SUM(J7:J43)</f>
        <v>5597.9600000000009</v>
      </c>
      <c r="K44" s="60">
        <f>+SUM(K7:K43)</f>
        <v>67790.338700000008</v>
      </c>
      <c r="L44" s="98"/>
    </row>
  </sheetData>
  <mergeCells count="4">
    <mergeCell ref="B7:B20"/>
    <mergeCell ref="B21:B38"/>
    <mergeCell ref="B39:B43"/>
    <mergeCell ref="B44:C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5"/>
  <sheetViews>
    <sheetView workbookViewId="0">
      <selection activeCell="D23" sqref="D23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10" x14ac:dyDescent="0.2">
      <c r="B3" s="109" t="s">
        <v>5</v>
      </c>
      <c r="C3" s="109"/>
      <c r="D3" s="109"/>
      <c r="E3" s="109"/>
      <c r="F3" s="109"/>
      <c r="G3" s="109"/>
      <c r="H3" s="109"/>
    </row>
    <row r="4" spans="2:10" x14ac:dyDescent="0.2">
      <c r="B4" s="109"/>
      <c r="C4" s="109"/>
      <c r="D4" s="109"/>
      <c r="E4" s="109"/>
      <c r="F4" s="109"/>
      <c r="G4" s="109"/>
      <c r="H4" s="109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34</v>
      </c>
    </row>
    <row r="6" spans="2:10" ht="14" customHeight="1" x14ac:dyDescent="0.2">
      <c r="B6" s="13" t="s">
        <v>142</v>
      </c>
      <c r="C6" s="6"/>
      <c r="D6" s="6"/>
      <c r="E6" s="14"/>
      <c r="F6" s="27"/>
      <c r="G6" s="15">
        <f>10*8*11.44</f>
        <v>915.19999999999993</v>
      </c>
      <c r="H6" s="28"/>
    </row>
    <row r="7" spans="2:10" ht="14" customHeight="1" x14ac:dyDescent="0.2">
      <c r="B7" s="13" t="s">
        <v>127</v>
      </c>
      <c r="C7" s="6"/>
      <c r="D7" s="6"/>
      <c r="E7" s="14"/>
      <c r="F7" s="100"/>
      <c r="G7" s="15">
        <f>5*8*11.5</f>
        <v>460</v>
      </c>
      <c r="H7" s="28"/>
    </row>
    <row r="8" spans="2:10" ht="14" customHeight="1" x14ac:dyDescent="0.2">
      <c r="B8" s="13" t="s">
        <v>52</v>
      </c>
      <c r="C8" s="6"/>
      <c r="D8" s="6"/>
      <c r="E8" s="14"/>
      <c r="F8" s="100"/>
      <c r="G8" s="15">
        <f>28*8*11.5</f>
        <v>2576</v>
      </c>
      <c r="H8" s="28"/>
    </row>
    <row r="9" spans="2:10" ht="14" customHeight="1" x14ac:dyDescent="0.2">
      <c r="B9" s="13" t="s">
        <v>56</v>
      </c>
      <c r="C9" s="6"/>
      <c r="D9" s="6"/>
      <c r="E9" s="14"/>
      <c r="F9" s="101"/>
      <c r="G9" s="15">
        <f>10*8*11.5</f>
        <v>920</v>
      </c>
      <c r="H9" s="28"/>
    </row>
    <row r="10" spans="2:10" ht="14" customHeight="1" x14ac:dyDescent="0.2">
      <c r="B10" s="13" t="s">
        <v>59</v>
      </c>
      <c r="C10" s="6"/>
      <c r="D10" s="6"/>
      <c r="E10" s="14"/>
      <c r="F10" s="100"/>
      <c r="G10" s="15">
        <f>15*8*11.5</f>
        <v>1380</v>
      </c>
      <c r="H10" s="28"/>
    </row>
    <row r="11" spans="2:10" x14ac:dyDescent="0.2">
      <c r="B11" s="13" t="s">
        <v>75</v>
      </c>
      <c r="C11" s="6"/>
      <c r="D11" s="6"/>
      <c r="E11" s="14"/>
      <c r="F11" s="100"/>
      <c r="G11" s="15">
        <f>11*8*10</f>
        <v>880</v>
      </c>
      <c r="H11" s="28"/>
    </row>
    <row r="12" spans="2:10" x14ac:dyDescent="0.2">
      <c r="B12" s="13"/>
      <c r="C12" s="6"/>
      <c r="D12" s="6"/>
      <c r="E12" s="14"/>
      <c r="F12" s="100"/>
      <c r="G12" s="15"/>
      <c r="H12" s="28"/>
    </row>
    <row r="13" spans="2:10" ht="15" thickBot="1" x14ac:dyDescent="0.25">
      <c r="B13" s="3" t="s">
        <v>6</v>
      </c>
      <c r="C13" s="4"/>
      <c r="D13" s="4"/>
      <c r="E13" s="4"/>
      <c r="F13" s="4"/>
      <c r="G13" s="22">
        <f>+SUM(G6:G11)</f>
        <v>7131.2</v>
      </c>
      <c r="H13" s="63"/>
    </row>
    <row r="14" spans="2:10" ht="15" thickTop="1" x14ac:dyDescent="0.2">
      <c r="B14" s="8"/>
      <c r="C14" s="7"/>
      <c r="D14" s="7"/>
      <c r="E14" s="7"/>
      <c r="F14" s="7"/>
      <c r="G14" s="9"/>
      <c r="H14" s="64"/>
    </row>
    <row r="15" spans="2:10" x14ac:dyDescent="0.2">
      <c r="B15" s="109"/>
      <c r="C15" s="109"/>
      <c r="D15" s="109"/>
      <c r="E15" s="109"/>
      <c r="F15" s="109"/>
      <c r="G15" s="109"/>
      <c r="H15" s="109"/>
      <c r="I15" s="2"/>
      <c r="J15" s="64"/>
    </row>
  </sheetData>
  <mergeCells count="3">
    <mergeCell ref="B15:H15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5"/>
  <sheetViews>
    <sheetView zoomScale="120" zoomScaleNormal="120" workbookViewId="0">
      <selection activeCell="B8" sqref="B8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65"/>
      <c r="B1" s="19"/>
      <c r="C1" s="19"/>
      <c r="D1" s="19"/>
      <c r="E1" s="19"/>
      <c r="F1" s="19"/>
      <c r="G1" s="19"/>
      <c r="H1" s="19"/>
      <c r="I1" s="19"/>
      <c r="J1" s="19"/>
      <c r="K1" s="66"/>
    </row>
    <row r="2" spans="1:11" ht="32" customHeight="1" x14ac:dyDescent="0.2">
      <c r="A2" s="65"/>
      <c r="B2" s="94" t="s">
        <v>87</v>
      </c>
      <c r="C2" s="94" t="s">
        <v>32</v>
      </c>
      <c r="D2" s="94" t="s">
        <v>49</v>
      </c>
      <c r="E2" s="94" t="s">
        <v>9</v>
      </c>
      <c r="F2" s="94" t="s">
        <v>10</v>
      </c>
      <c r="G2" s="94" t="s">
        <v>35</v>
      </c>
      <c r="H2" s="94" t="s">
        <v>12</v>
      </c>
      <c r="I2" s="94" t="s">
        <v>55</v>
      </c>
      <c r="J2" s="94" t="s">
        <v>114</v>
      </c>
      <c r="K2" s="54"/>
    </row>
    <row r="3" spans="1:11" ht="13" customHeight="1" x14ac:dyDescent="0.2">
      <c r="A3" s="67"/>
      <c r="B3" s="21"/>
      <c r="C3" s="68"/>
      <c r="D3" s="69"/>
      <c r="E3" s="70"/>
      <c r="F3" s="71"/>
      <c r="G3" s="72"/>
      <c r="H3" s="18"/>
      <c r="I3" s="18"/>
      <c r="J3" s="18"/>
      <c r="K3" s="73"/>
    </row>
    <row r="4" spans="1:11" x14ac:dyDescent="0.2">
      <c r="A4" s="67"/>
      <c r="B4" s="21"/>
      <c r="C4" s="68"/>
      <c r="D4" s="80"/>
      <c r="E4" s="81"/>
      <c r="F4" s="71"/>
      <c r="G4" s="72"/>
      <c r="H4" s="18"/>
      <c r="I4" s="18"/>
      <c r="J4" s="18"/>
      <c r="K4" s="73"/>
    </row>
    <row r="5" spans="1:11" x14ac:dyDescent="0.2">
      <c r="A5" s="67"/>
      <c r="B5" s="21"/>
      <c r="D5" s="80"/>
      <c r="E5" s="84"/>
      <c r="F5" s="71"/>
      <c r="G5" s="72"/>
      <c r="H5" s="18"/>
      <c r="I5" s="18"/>
      <c r="J5" s="18"/>
      <c r="K5" s="73"/>
    </row>
    <row r="6" spans="1:11" x14ac:dyDescent="0.2">
      <c r="A6" s="65"/>
      <c r="B6" s="74" t="s">
        <v>130</v>
      </c>
      <c r="C6" s="82" t="s">
        <v>131</v>
      </c>
      <c r="D6" s="83" t="s">
        <v>134</v>
      </c>
      <c r="E6" s="76" t="s">
        <v>135</v>
      </c>
      <c r="F6" s="77"/>
      <c r="G6" s="78"/>
      <c r="H6" s="79"/>
      <c r="I6" s="79"/>
      <c r="J6" s="79"/>
      <c r="K6" s="73"/>
    </row>
    <row r="7" spans="1:11" x14ac:dyDescent="0.2">
      <c r="A7" s="19"/>
      <c r="B7" s="21" t="s">
        <v>132</v>
      </c>
      <c r="C7" s="68" t="s">
        <v>133</v>
      </c>
      <c r="D7" s="69" t="s">
        <v>140</v>
      </c>
      <c r="E7" s="70" t="s">
        <v>141</v>
      </c>
      <c r="F7" s="71"/>
      <c r="G7" s="72"/>
      <c r="H7" s="18"/>
      <c r="I7" s="85"/>
      <c r="J7" s="18"/>
      <c r="K7" s="73"/>
    </row>
    <row r="8" spans="1:11" x14ac:dyDescent="0.2">
      <c r="A8" s="65"/>
      <c r="B8" s="74" t="s">
        <v>143</v>
      </c>
      <c r="C8" s="82" t="s">
        <v>145</v>
      </c>
      <c r="D8" s="75" t="s">
        <v>146</v>
      </c>
      <c r="E8" s="76" t="s">
        <v>147</v>
      </c>
      <c r="F8" s="77"/>
      <c r="G8" s="79"/>
      <c r="H8" s="79"/>
      <c r="I8" s="79"/>
      <c r="J8" s="79"/>
      <c r="K8" s="73"/>
    </row>
    <row r="9" spans="1:11" x14ac:dyDescent="0.2">
      <c r="A9" s="65"/>
      <c r="B9" s="21"/>
      <c r="C9" s="68"/>
      <c r="D9" s="86"/>
      <c r="E9" s="81"/>
      <c r="F9" s="71"/>
      <c r="G9" s="18"/>
      <c r="H9" s="18"/>
      <c r="I9" s="18"/>
      <c r="J9" s="18"/>
      <c r="K9" s="73"/>
    </row>
    <row r="10" spans="1:11" x14ac:dyDescent="0.2">
      <c r="A10" s="19"/>
      <c r="B10" s="74"/>
      <c r="C10" s="82"/>
      <c r="D10" s="75"/>
      <c r="E10" s="76"/>
      <c r="F10" s="87"/>
      <c r="G10" s="79"/>
      <c r="H10" s="79"/>
      <c r="I10" s="79"/>
      <c r="J10" s="79"/>
      <c r="K10" s="18"/>
    </row>
    <row r="11" spans="1:11" x14ac:dyDescent="0.2">
      <c r="A11" s="19"/>
      <c r="B11" s="21"/>
      <c r="C11" s="19"/>
      <c r="D11" s="88"/>
      <c r="E11" s="36"/>
      <c r="G11" s="19"/>
      <c r="H11" s="19"/>
      <c r="I11" s="19"/>
      <c r="J11" s="19"/>
      <c r="K11" s="19"/>
    </row>
    <row r="12" spans="1:11" x14ac:dyDescent="0.2">
      <c r="B12" s="89"/>
      <c r="C12" s="90"/>
      <c r="D12" s="91"/>
      <c r="E12" s="91"/>
      <c r="F12" s="90"/>
      <c r="G12" s="90"/>
      <c r="H12" s="90"/>
      <c r="I12" s="90"/>
      <c r="J12" s="90"/>
    </row>
    <row r="13" spans="1:11" x14ac:dyDescent="0.2">
      <c r="B13" s="92"/>
      <c r="D13" s="93"/>
      <c r="E13" s="84"/>
    </row>
    <row r="14" spans="1:11" x14ac:dyDescent="0.2">
      <c r="B14" s="89"/>
      <c r="C14" s="90"/>
      <c r="D14" s="91"/>
      <c r="E14" s="91"/>
      <c r="F14" s="90"/>
      <c r="G14" s="90"/>
      <c r="H14" s="90"/>
      <c r="I14" s="90"/>
      <c r="J14" s="90"/>
    </row>
    <row r="15" spans="1:11" x14ac:dyDescent="0.2">
      <c r="B15" s="92"/>
      <c r="D15" s="84"/>
      <c r="E15" s="8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96"/>
      <c r="C6" s="96" t="s">
        <v>23</v>
      </c>
      <c r="D6" s="96" t="s">
        <v>16</v>
      </c>
      <c r="E6" s="96" t="s">
        <v>24</v>
      </c>
      <c r="F6" s="96" t="s">
        <v>27</v>
      </c>
      <c r="G6" s="96" t="s">
        <v>25</v>
      </c>
      <c r="H6" s="96"/>
      <c r="I6" s="96" t="s">
        <v>26</v>
      </c>
      <c r="J6" s="96" t="s">
        <v>19</v>
      </c>
      <c r="K6" s="96" t="s">
        <v>33</v>
      </c>
      <c r="L6" s="96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111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51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95" t="s">
        <v>97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55" t="s">
        <v>18</v>
      </c>
      <c r="B17" s="5">
        <v>40</v>
      </c>
      <c r="C17" s="5" t="s">
        <v>50</v>
      </c>
    </row>
    <row r="18" spans="1:7" x14ac:dyDescent="0.2">
      <c r="A18" s="55" t="s">
        <v>17</v>
      </c>
      <c r="B18" s="5">
        <v>10</v>
      </c>
    </row>
    <row r="19" spans="1:7" x14ac:dyDescent="0.2">
      <c r="A19" s="55" t="s">
        <v>111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2024-08-26T12:11:22Z</dcterms:modified>
</cp:coreProperties>
</file>