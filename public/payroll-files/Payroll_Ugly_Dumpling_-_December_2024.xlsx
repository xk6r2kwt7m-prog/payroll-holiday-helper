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8_{9FDFCB8B-3C96-0347-8F2F-DBBE0174B2BD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" i="2" l="1"/>
  <c r="G6" i="2"/>
  <c r="M38" i="9"/>
  <c r="N38" i="9" s="1"/>
  <c r="I38" i="9" s="1"/>
  <c r="G7" i="2"/>
  <c r="G13" i="2"/>
  <c r="G12" i="2"/>
  <c r="G11" i="2"/>
  <c r="G10" i="2"/>
  <c r="G9" i="2"/>
  <c r="G8" i="2"/>
  <c r="K43" i="9"/>
  <c r="K41" i="9"/>
  <c r="K40" i="9"/>
  <c r="K21" i="9"/>
  <c r="K20" i="9"/>
  <c r="K19" i="9"/>
  <c r="J50" i="9"/>
  <c r="J13" i="9"/>
  <c r="J17" i="9"/>
  <c r="K49" i="9" l="1"/>
  <c r="K48" i="9"/>
  <c r="J54" i="9"/>
  <c r="K46" i="9"/>
  <c r="K47" i="9"/>
  <c r="K53" i="9"/>
  <c r="K26" i="9"/>
  <c r="K27" i="9"/>
  <c r="K28" i="9"/>
  <c r="K29" i="9"/>
  <c r="K30" i="9"/>
  <c r="K31" i="9"/>
  <c r="K32" i="9"/>
  <c r="K34" i="9"/>
  <c r="K35" i="9"/>
  <c r="K36" i="9"/>
  <c r="K37" i="9"/>
  <c r="K38" i="9"/>
  <c r="K39" i="9"/>
  <c r="K42" i="9"/>
  <c r="K44" i="9"/>
  <c r="K25" i="9"/>
  <c r="K8" i="9"/>
  <c r="K9" i="9"/>
  <c r="K10" i="9"/>
  <c r="K11" i="9"/>
  <c r="K12" i="9"/>
  <c r="K13" i="9"/>
  <c r="K14" i="9"/>
  <c r="K15" i="9"/>
  <c r="K16" i="9"/>
  <c r="K17" i="9"/>
  <c r="K18" i="9"/>
  <c r="K22" i="9"/>
  <c r="K23" i="9"/>
  <c r="K24" i="9"/>
  <c r="K7" i="9"/>
  <c r="K33" i="9"/>
  <c r="G9" i="6" l="1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54" i="9" l="1"/>
  <c r="B4" i="3" l="1"/>
  <c r="H54" i="9"/>
  <c r="K45" i="9"/>
  <c r="D7" i="6"/>
  <c r="D9" i="6"/>
  <c r="K54" i="9" l="1"/>
  <c r="C7" i="3" s="1"/>
  <c r="B24" i="6" l="1"/>
  <c r="F28" i="6" l="1"/>
  <c r="E26" i="6"/>
  <c r="F27" i="6" s="1"/>
  <c r="G27" i="6" s="1"/>
  <c r="C9" i="3" l="1"/>
  <c r="L7" i="6" l="1"/>
  <c r="F7" i="6" l="1"/>
  <c r="G7" i="6" l="1"/>
  <c r="H7" i="6" l="1"/>
  <c r="I7" i="6" l="1"/>
  <c r="J7" i="6" s="1"/>
  <c r="I54" i="9" l="1"/>
  <c r="C8" i="3" s="1"/>
  <c r="C10" i="3" l="1"/>
  <c r="K7" i="6"/>
</calcChain>
</file>

<file path=xl/sharedStrings.xml><?xml version="1.0" encoding="utf-8"?>
<sst xmlns="http://schemas.openxmlformats.org/spreadsheetml/2006/main" count="201" uniqueCount="182">
  <si>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</si>
  <si>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</si>
  <si>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</si>
  <si>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</si>
  <si>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</si>
  <si>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</si>
  <si>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</si>
  <si>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</si>
  <si>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</si>
  <si>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</si>
  <si>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</si>
  <si>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</si>
  <si>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</si>
  <si>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</si>
  <si>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</si>
  <si>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</si>
  <si>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</si>
  <si>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</si>
  <si>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</si>
  <si>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</si>
  <si>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</si>
  <si>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</si>
  <si>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</si>
  <si>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</si>
  <si>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</si>
  <si>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</si>
  <si>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</si>
  <si>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</si>
  <si>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</si>
  <si>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</si>
  <si>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</si>
  <si>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</si>
  <si>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</si>
  <si>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</si>
  <si>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</si>
  <si>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</si>
  <si>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</si>
  <si>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</si>
  <si>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</si>
  <si>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</si>
  <si>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</si>
  <si>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</si>
  <si>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</si>
  <si>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</si>
  <si>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</si>
  <si>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</si>
  <si>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</si>
  <si>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</si>
  <si>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</si>
  <si>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>§</t>
  </si>
  <si>
    <t xml:space="preserve"> Sharing Code</t>
  </si>
  <si>
    <t xml:space="preserve">Luisa </t>
  </si>
  <si>
    <t xml:space="preserve">Valenzuela </t>
  </si>
  <si>
    <t>Ada</t>
  </si>
  <si>
    <t xml:space="preserve">Heidy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</si>
  <si>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</si>
  <si>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</si>
  <si>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</si>
  <si>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</si>
  <si>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</si>
  <si>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</si>
  <si>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</si>
  <si>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</si>
  <si>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</si>
  <si>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</si>
  <si>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</si>
  <si>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</si>
  <si>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</si>
  <si>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</si>
  <si>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</si>
  <si>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</si>
  <si>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</si>
  <si>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</si>
  <si>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</si>
  <si>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</si>
  <si>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</si>
  <si>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</si>
  <si>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</si>
  <si>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</si>
  <si>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</si>
  <si>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</si>
  <si>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</si>
  <si>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</si>
  <si>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HOLIDAYS </t>
  </si>
  <si>
    <t xml:space="preserve">TIMESHEET </t>
  </si>
  <si>
    <t>Ref.:</t>
  </si>
  <si>
    <t>Saicharan</t>
  </si>
  <si>
    <t>Manepalli</t>
  </si>
  <si>
    <t>CPK</t>
  </si>
  <si>
    <t xml:space="preserve">Olivia </t>
  </si>
  <si>
    <t>Maschio</t>
  </si>
  <si>
    <t xml:space="preserve">Sreeja </t>
  </si>
  <si>
    <t>Vadlapudi</t>
  </si>
  <si>
    <t xml:space="preserve">Olga </t>
  </si>
  <si>
    <t xml:space="preserve">Quilumba </t>
  </si>
  <si>
    <t xml:space="preserve">Leaver </t>
  </si>
  <si>
    <t>Kitty</t>
  </si>
  <si>
    <t xml:space="preserve">Fatima </t>
  </si>
  <si>
    <t xml:space="preserve">Ashraf </t>
  </si>
  <si>
    <t xml:space="preserve">Resid. Permit </t>
  </si>
  <si>
    <t>Arun</t>
  </si>
  <si>
    <t xml:space="preserve">Thota </t>
  </si>
  <si>
    <t xml:space="preserve">starter </t>
  </si>
  <si>
    <t>starter</t>
  </si>
  <si>
    <t xml:space="preserve">leaver </t>
  </si>
  <si>
    <t xml:space="preserve">Rithwik </t>
  </si>
  <si>
    <t>Godishala</t>
  </si>
  <si>
    <t xml:space="preserve">Gus </t>
  </si>
  <si>
    <t xml:space="preserve">Yariel </t>
  </si>
  <si>
    <t xml:space="preserve">Kavi </t>
  </si>
  <si>
    <t xml:space="preserve">Brickman </t>
  </si>
  <si>
    <t>Jody Samantha</t>
  </si>
  <si>
    <t xml:space="preserve">Gumery </t>
  </si>
  <si>
    <t>Sanghani</t>
  </si>
  <si>
    <t xml:space="preserve">Kim </t>
  </si>
  <si>
    <t xml:space="preserve">Aglupos </t>
  </si>
  <si>
    <t xml:space="preserve">Chloe </t>
  </si>
  <si>
    <t>kazumi</t>
  </si>
  <si>
    <t xml:space="preserve">Fred </t>
  </si>
  <si>
    <t>Ortega</t>
  </si>
  <si>
    <t xml:space="preserve">Sally Poh Ray </t>
  </si>
  <si>
    <t>Sano Lee</t>
  </si>
  <si>
    <t xml:space="preserve">Vary </t>
  </si>
  <si>
    <t xml:space="preserve">Booker </t>
  </si>
  <si>
    <t xml:space="preserve">Hannah  </t>
  </si>
  <si>
    <t xml:space="preserve">Manning </t>
  </si>
  <si>
    <t xml:space="preserve">Jie En </t>
  </si>
  <si>
    <t xml:space="preserve">Loh </t>
  </si>
  <si>
    <t>Cook</t>
  </si>
  <si>
    <t xml:space="preserve">Molly </t>
  </si>
  <si>
    <t xml:space="preserve">Hollie </t>
  </si>
  <si>
    <t xml:space="preserve">Afonso </t>
  </si>
  <si>
    <t xml:space="preserve">Fabian </t>
  </si>
  <si>
    <t xml:space="preserve">Evelisse </t>
  </si>
  <si>
    <t xml:space="preserve">Cook </t>
  </si>
  <si>
    <t xml:space="preserve">Varsha </t>
  </si>
  <si>
    <t xml:space="preserve">Gomes </t>
  </si>
  <si>
    <t xml:space="preserve">Passare </t>
  </si>
  <si>
    <t xml:space="preserve">18 of Nov to 15th of December </t>
  </si>
  <si>
    <t xml:space="preserve">Viktoriia </t>
  </si>
  <si>
    <t xml:space="preserve">Anna </t>
  </si>
  <si>
    <t xml:space="preserve">Jocelyne </t>
  </si>
  <si>
    <t xml:space="preserve">Nairobys </t>
  </si>
  <si>
    <t xml:space="preserve">Elsa </t>
  </si>
  <si>
    <t xml:space="preserve">Joshua </t>
  </si>
  <si>
    <t>Kumari</t>
  </si>
  <si>
    <t xml:space="preserve">Elsa Severino Perez </t>
  </si>
  <si>
    <t>SZ867144A</t>
  </si>
  <si>
    <t>00034154</t>
  </si>
  <si>
    <t>309870</t>
  </si>
  <si>
    <t xml:space="preserve">Nairobys Reyes de los Santos </t>
  </si>
  <si>
    <t>SW898033B</t>
  </si>
  <si>
    <t>29854768</t>
  </si>
  <si>
    <t>779168</t>
  </si>
  <si>
    <t>SW224186C</t>
  </si>
  <si>
    <t xml:space="preserve">Joselin Carcelen Chala </t>
  </si>
  <si>
    <t xml:space="preserve">Viktoriia Bastrakova </t>
  </si>
  <si>
    <t>NJ976469B</t>
  </si>
  <si>
    <t>600115</t>
  </si>
  <si>
    <t xml:space="preserve">Anna Khoptynska </t>
  </si>
  <si>
    <t>TK763931B</t>
  </si>
  <si>
    <t>31995662</t>
  </si>
  <si>
    <t>777751</t>
  </si>
  <si>
    <t xml:space="preserve">Carlos David Duarte Madrid </t>
  </si>
  <si>
    <t>SS738229B</t>
  </si>
  <si>
    <t>71776576</t>
  </si>
  <si>
    <t>400526</t>
  </si>
  <si>
    <t xml:space="preserve">Chala </t>
  </si>
  <si>
    <t xml:space="preserve">de los Santos </t>
  </si>
  <si>
    <t xml:space="preserve">Herrera </t>
  </si>
  <si>
    <t xml:space="preserve">Perez </t>
  </si>
  <si>
    <t xml:space="preserve">Khoptinska </t>
  </si>
  <si>
    <t xml:space="preserve">Madrid </t>
  </si>
  <si>
    <t>Carlos</t>
  </si>
  <si>
    <t xml:space="preserve">Bastrakova </t>
  </si>
  <si>
    <t>starter - brixton ass.manager</t>
  </si>
  <si>
    <t>Liew</t>
  </si>
  <si>
    <t>60160962</t>
  </si>
  <si>
    <t>202528</t>
  </si>
  <si>
    <t>starter and leaver</t>
  </si>
  <si>
    <t>leaver**</t>
  </si>
  <si>
    <t>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</si>
</sst>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7" borderId="22" xfId="0" applyFont="1" applyFill="1" applyBorder="1"/>
    <xf numFmtId="0" fontId="10" fillId="7" borderId="22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2" xfId="0" applyFont="1" applyFill="1" applyBorder="1"/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78" applyNumberFormat="1" applyFont="1" applyFill="1" applyBorder="1" applyAlignment="1">
      <alignment horizontal="center" vertical="center"/>
    </xf>
    <xf numFmtId="0" fontId="9" fillId="5" borderId="0" xfId="78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165" fontId="9" fillId="5" borderId="24" xfId="0" applyNumberFormat="1" applyFont="1" applyFill="1" applyBorder="1" applyAlignment="1">
      <alignment horizontal="center" vertical="center"/>
    </xf>
    <xf numFmtId="0" fontId="9" fillId="5" borderId="24" xfId="0" applyNumberFormat="1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left" vertical="center"/>
    </xf>
    <xf numFmtId="165" fontId="9" fillId="2" borderId="29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5" borderId="24" xfId="78" applyNumberFormat="1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left" vertical="center"/>
    </xf>
    <xf numFmtId="0" fontId="9" fillId="5" borderId="29" xfId="0" applyFont="1" applyFill="1" applyBorder="1" applyAlignment="1">
      <alignment horizontal="left" vertical="center"/>
    </xf>
    <xf numFmtId="165" fontId="9" fillId="5" borderId="29" xfId="0" applyNumberFormat="1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49" fontId="9" fillId="2" borderId="0" xfId="0" applyNumberFormat="1" applyFont="1" applyFill="1" applyBorder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9" fillId="5" borderId="29" xfId="78" applyNumberFormat="1" applyFont="1" applyFill="1" applyBorder="1" applyAlignment="1">
      <alignment horizontal="center" vertical="center"/>
    </xf>
    <xf numFmtId="0" fontId="9" fillId="2" borderId="29" xfId="0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5</xdr:row>
      <xdr:rowOff>136800</xdr:rowOff>
    </xdr:from>
    <xdr:to>
      <xdr:col>3</xdr:col>
      <xdr:colOff>388980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C8" sqref="C8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51"/>
      <c r="C6" s="52" t="s">
        <v>7</v>
      </c>
    </row>
    <row r="7" spans="1:6" ht="17" thickTop="1" x14ac:dyDescent="0.2">
      <c r="B7" s="5" t="s">
        <v>84</v>
      </c>
      <c r="C7" s="10">
        <f>+'Timesheet '!K54</f>
        <v>54343.12769999999</v>
      </c>
    </row>
    <row r="8" spans="1:6" x14ac:dyDescent="0.2">
      <c r="B8" s="5" t="s">
        <v>43</v>
      </c>
      <c r="C8" s="10">
        <f>+'Timesheet '!I54+'Timesheet '!H54</f>
        <v>1687.3707999999999</v>
      </c>
    </row>
    <row r="9" spans="1:6" x14ac:dyDescent="0.2">
      <c r="B9" s="5" t="s">
        <v>83</v>
      </c>
      <c r="C9" s="10">
        <f>'Holiday notes '!G14</f>
        <v>7651.0719999999992</v>
      </c>
    </row>
    <row r="10" spans="1:6" ht="33" customHeight="1" thickBot="1" x14ac:dyDescent="0.25">
      <c r="B10" s="11" t="s">
        <v>8</v>
      </c>
      <c r="C10" s="16">
        <f>SUM(C7:C9)</f>
        <v>63681.570499999987</v>
      </c>
    </row>
    <row r="11" spans="1:6" ht="17" thickTop="1" x14ac:dyDescent="0.2">
      <c r="C11" s="86"/>
      <c r="F11" s="23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N54"/>
  <sheetViews>
    <sheetView zoomScale="111" zoomScaleNormal="110" workbookViewId="0">
      <selection activeCell="C36" sqref="C36"/>
    </sheetView>
  </sheetViews>
  <sheetFormatPr baseColWidth="10" defaultRowHeight="14" x14ac:dyDescent="0.2"/>
  <cols>
    <col min="1" max="1" width="7.1640625" style="5" customWidth="1"/>
    <col min="2" max="2" width="11" style="5" bestFit="1" customWidth="1"/>
    <col min="3" max="3" width="23.5" style="5" bestFit="1" customWidth="1"/>
    <col min="4" max="4" width="11.66406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46" t="s">
        <v>81</v>
      </c>
      <c r="C2" s="18"/>
    </row>
    <row r="3" spans="2:12" x14ac:dyDescent="0.2">
      <c r="B3" s="47" t="s">
        <v>82</v>
      </c>
      <c r="C3" s="5" t="s">
        <v>138</v>
      </c>
    </row>
    <row r="4" spans="2:12" ht="15" thickBot="1" x14ac:dyDescent="0.25"/>
    <row r="5" spans="2:12" ht="3" customHeight="1" x14ac:dyDescent="0.2"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2:12" ht="29" customHeight="1" thickBot="1" x14ac:dyDescent="0.25">
      <c r="B6" s="48" t="s">
        <v>64</v>
      </c>
      <c r="C6" s="49" t="s">
        <v>78</v>
      </c>
      <c r="D6" s="49" t="s">
        <v>56</v>
      </c>
      <c r="E6" s="49" t="s">
        <v>55</v>
      </c>
      <c r="F6" s="49" t="s">
        <v>57</v>
      </c>
      <c r="G6" s="49" t="s">
        <v>60</v>
      </c>
      <c r="H6" s="49" t="s">
        <v>13</v>
      </c>
      <c r="I6" s="49" t="s">
        <v>61</v>
      </c>
      <c r="J6" s="49" t="s">
        <v>58</v>
      </c>
      <c r="K6" s="49" t="s">
        <v>59</v>
      </c>
      <c r="L6" s="50" t="s">
        <v>79</v>
      </c>
    </row>
    <row r="7" spans="2:12" ht="16" customHeight="1" x14ac:dyDescent="0.2">
      <c r="B7" s="117" t="s">
        <v>75</v>
      </c>
      <c r="C7" s="37"/>
      <c r="D7" s="34" t="s">
        <v>11</v>
      </c>
      <c r="E7" s="34" t="s">
        <v>62</v>
      </c>
      <c r="F7" s="38">
        <v>11.44</v>
      </c>
      <c r="G7" s="38">
        <v>4</v>
      </c>
      <c r="H7" s="38">
        <v>130</v>
      </c>
      <c r="I7" s="38"/>
      <c r="J7" s="89">
        <v>147.84</v>
      </c>
      <c r="K7" s="38">
        <f>+F7*J7+(G7*J7)+H7</f>
        <v>2412.6496000000002</v>
      </c>
      <c r="L7" s="39"/>
    </row>
    <row r="8" spans="2:12" x14ac:dyDescent="0.2">
      <c r="B8" s="118"/>
      <c r="C8" s="40"/>
      <c r="D8" s="35" t="s">
        <v>63</v>
      </c>
      <c r="E8" s="35" t="s">
        <v>65</v>
      </c>
      <c r="F8" s="41">
        <v>11.44</v>
      </c>
      <c r="G8" s="41">
        <v>2.5</v>
      </c>
      <c r="H8" s="41">
        <v>100</v>
      </c>
      <c r="I8" s="41"/>
      <c r="J8" s="90">
        <v>143.13</v>
      </c>
      <c r="K8" s="41">
        <f t="shared" ref="K8:K24" si="0">+F8*J8+(G8*J8)+H8</f>
        <v>2095.2321999999999</v>
      </c>
      <c r="L8" s="42"/>
    </row>
    <row r="9" spans="2:12" x14ac:dyDescent="0.2">
      <c r="B9" s="118"/>
      <c r="C9" s="40" t="s">
        <v>95</v>
      </c>
      <c r="D9" s="36" t="s">
        <v>130</v>
      </c>
      <c r="E9" s="36" t="s">
        <v>134</v>
      </c>
      <c r="F9" s="43">
        <v>11.5</v>
      </c>
      <c r="G9" s="43">
        <v>1</v>
      </c>
      <c r="H9" s="43">
        <v>0</v>
      </c>
      <c r="I9" s="43"/>
      <c r="J9" s="91">
        <v>61.78</v>
      </c>
      <c r="K9" s="43">
        <f t="shared" si="0"/>
        <v>772.25</v>
      </c>
      <c r="L9" s="44"/>
    </row>
    <row r="10" spans="2:12" x14ac:dyDescent="0.2">
      <c r="B10" s="118"/>
      <c r="C10" s="40"/>
      <c r="D10" s="35" t="s">
        <v>44</v>
      </c>
      <c r="E10" s="35" t="s">
        <v>45</v>
      </c>
      <c r="F10" s="41">
        <v>12.44</v>
      </c>
      <c r="G10" s="41">
        <v>1</v>
      </c>
      <c r="H10" s="41">
        <v>80</v>
      </c>
      <c r="I10" s="41"/>
      <c r="J10" s="90">
        <v>150.57</v>
      </c>
      <c r="K10" s="41">
        <f t="shared" si="0"/>
        <v>2103.6607999999997</v>
      </c>
      <c r="L10" s="42"/>
    </row>
    <row r="11" spans="2:12" x14ac:dyDescent="0.2">
      <c r="B11" s="118"/>
      <c r="C11" s="40"/>
      <c r="D11" s="36" t="s">
        <v>131</v>
      </c>
      <c r="E11" s="36" t="s">
        <v>136</v>
      </c>
      <c r="F11" s="43">
        <v>9.5</v>
      </c>
      <c r="G11" s="43">
        <v>0.5</v>
      </c>
      <c r="H11" s="43"/>
      <c r="I11" s="43"/>
      <c r="J11" s="91">
        <v>67.72</v>
      </c>
      <c r="K11" s="43">
        <f t="shared" si="0"/>
        <v>677.2</v>
      </c>
      <c r="L11" s="44"/>
    </row>
    <row r="12" spans="2:12" ht="15" customHeight="1" x14ac:dyDescent="0.2">
      <c r="B12" s="119"/>
      <c r="C12" s="40" t="s">
        <v>104</v>
      </c>
      <c r="D12" s="35" t="s">
        <v>89</v>
      </c>
      <c r="E12" s="35" t="s">
        <v>90</v>
      </c>
      <c r="F12" s="41">
        <v>12.44</v>
      </c>
      <c r="G12" s="41">
        <v>1</v>
      </c>
      <c r="H12" s="41"/>
      <c r="I12" s="41"/>
      <c r="J12" s="90">
        <v>123.72</v>
      </c>
      <c r="K12" s="41">
        <f t="shared" si="0"/>
        <v>1662.7967999999998</v>
      </c>
      <c r="L12" s="42"/>
    </row>
    <row r="13" spans="2:12" ht="15" customHeight="1" x14ac:dyDescent="0.2">
      <c r="B13" s="119"/>
      <c r="C13" s="40"/>
      <c r="D13" s="36" t="s">
        <v>116</v>
      </c>
      <c r="E13" s="36" t="s">
        <v>128</v>
      </c>
      <c r="F13" s="43">
        <v>13</v>
      </c>
      <c r="G13" s="43">
        <v>1.7</v>
      </c>
      <c r="H13" s="43">
        <v>100</v>
      </c>
      <c r="I13" s="43"/>
      <c r="J13" s="91">
        <f>157.87+2.15</f>
        <v>160.02000000000001</v>
      </c>
      <c r="K13" s="43">
        <f t="shared" si="0"/>
        <v>2452.2940000000003</v>
      </c>
      <c r="L13" s="44"/>
    </row>
    <row r="14" spans="2:12" ht="15" customHeight="1" x14ac:dyDescent="0.2">
      <c r="B14" s="119"/>
      <c r="C14" s="40"/>
      <c r="D14" s="35" t="s">
        <v>117</v>
      </c>
      <c r="E14" s="35" t="s">
        <v>119</v>
      </c>
      <c r="F14" s="41">
        <v>10</v>
      </c>
      <c r="G14" s="41">
        <v>0.5</v>
      </c>
      <c r="H14" s="41"/>
      <c r="I14" s="41"/>
      <c r="J14" s="90">
        <v>94.3</v>
      </c>
      <c r="K14" s="41">
        <f t="shared" si="0"/>
        <v>990.15</v>
      </c>
      <c r="L14" s="42"/>
    </row>
    <row r="15" spans="2:12" ht="15" customHeight="1" x14ac:dyDescent="0.2">
      <c r="B15" s="119"/>
      <c r="C15" s="40"/>
      <c r="D15" s="36" t="s">
        <v>111</v>
      </c>
      <c r="E15" s="36" t="s">
        <v>110</v>
      </c>
      <c r="F15" s="43">
        <v>11.44</v>
      </c>
      <c r="G15" s="43">
        <v>0.56000000000000005</v>
      </c>
      <c r="H15" s="43"/>
      <c r="I15" s="43"/>
      <c r="J15" s="91">
        <v>65.33</v>
      </c>
      <c r="K15" s="43">
        <f t="shared" si="0"/>
        <v>783.95999999999992</v>
      </c>
      <c r="L15" s="44"/>
    </row>
    <row r="16" spans="2:12" ht="15" customHeight="1" x14ac:dyDescent="0.2">
      <c r="B16" s="119"/>
      <c r="C16" s="40"/>
      <c r="D16" s="35" t="s">
        <v>107</v>
      </c>
      <c r="E16" s="35" t="s">
        <v>112</v>
      </c>
      <c r="F16" s="41">
        <v>10</v>
      </c>
      <c r="G16" s="41">
        <v>1.5</v>
      </c>
      <c r="H16" s="41"/>
      <c r="I16" s="41"/>
      <c r="J16" s="90">
        <v>106.22</v>
      </c>
      <c r="K16" s="41">
        <f t="shared" si="0"/>
        <v>1221.53</v>
      </c>
      <c r="L16" s="42"/>
    </row>
    <row r="17" spans="2:12" ht="15" customHeight="1" x14ac:dyDescent="0.2">
      <c r="B17" s="119"/>
      <c r="C17" s="40"/>
      <c r="D17" s="36" t="s">
        <v>118</v>
      </c>
      <c r="E17" s="36" t="s">
        <v>122</v>
      </c>
      <c r="F17" s="43">
        <v>11.44</v>
      </c>
      <c r="G17" s="43">
        <v>0.56000000000000005</v>
      </c>
      <c r="H17" s="43"/>
      <c r="I17" s="43"/>
      <c r="J17" s="91">
        <f>112.99+3.5</f>
        <v>116.49</v>
      </c>
      <c r="K17" s="43">
        <f t="shared" si="0"/>
        <v>1397.8799999999999</v>
      </c>
      <c r="L17" s="44"/>
    </row>
    <row r="18" spans="2:12" ht="15" customHeight="1" x14ac:dyDescent="0.2">
      <c r="B18" s="119"/>
      <c r="C18" s="40"/>
      <c r="D18" s="35" t="s">
        <v>109</v>
      </c>
      <c r="E18" s="35" t="s">
        <v>113</v>
      </c>
      <c r="F18" s="41">
        <v>9.5</v>
      </c>
      <c r="G18" s="41">
        <v>0.5</v>
      </c>
      <c r="H18" s="41"/>
      <c r="I18" s="41"/>
      <c r="J18" s="90">
        <v>45.21</v>
      </c>
      <c r="K18" s="41">
        <f t="shared" si="0"/>
        <v>452.1</v>
      </c>
      <c r="L18" s="42"/>
    </row>
    <row r="19" spans="2:12" ht="15" customHeight="1" x14ac:dyDescent="0.2">
      <c r="B19" s="119"/>
      <c r="C19" s="40" t="s">
        <v>103</v>
      </c>
      <c r="D19" s="36" t="s">
        <v>139</v>
      </c>
      <c r="E19" s="36" t="s">
        <v>174</v>
      </c>
      <c r="F19" s="43">
        <v>11.44</v>
      </c>
      <c r="G19" s="43">
        <v>1.06</v>
      </c>
      <c r="H19" s="43"/>
      <c r="I19" s="43"/>
      <c r="J19" s="91">
        <v>13.78</v>
      </c>
      <c r="K19" s="43">
        <f t="shared" si="0"/>
        <v>172.24999999999997</v>
      </c>
      <c r="L19" s="44"/>
    </row>
    <row r="20" spans="2:12" ht="15" customHeight="1" x14ac:dyDescent="0.2">
      <c r="B20" s="119"/>
      <c r="C20" s="40" t="s">
        <v>179</v>
      </c>
      <c r="D20" s="35" t="s">
        <v>140</v>
      </c>
      <c r="E20" s="35" t="s">
        <v>171</v>
      </c>
      <c r="F20" s="41">
        <v>11.44</v>
      </c>
      <c r="G20" s="41">
        <v>0.56000000000000005</v>
      </c>
      <c r="H20" s="41"/>
      <c r="I20" s="41"/>
      <c r="J20" s="90">
        <v>65.64</v>
      </c>
      <c r="K20" s="41">
        <f t="shared" si="0"/>
        <v>787.68000000000006</v>
      </c>
      <c r="L20" s="42"/>
    </row>
    <row r="21" spans="2:12" ht="15" customHeight="1" x14ac:dyDescent="0.2">
      <c r="B21" s="119"/>
      <c r="C21" s="40" t="s">
        <v>175</v>
      </c>
      <c r="D21" s="36" t="s">
        <v>173</v>
      </c>
      <c r="E21" s="36" t="s">
        <v>172</v>
      </c>
      <c r="F21" s="43">
        <v>13</v>
      </c>
      <c r="G21" s="43">
        <v>1</v>
      </c>
      <c r="H21" s="43"/>
      <c r="I21" s="43"/>
      <c r="J21" s="91">
        <v>32.5</v>
      </c>
      <c r="K21" s="43">
        <f t="shared" si="0"/>
        <v>455</v>
      </c>
      <c r="L21" s="44"/>
    </row>
    <row r="22" spans="2:12" ht="15" customHeight="1" x14ac:dyDescent="0.2">
      <c r="B22" s="119"/>
      <c r="C22" s="40"/>
      <c r="D22" s="35" t="s">
        <v>120</v>
      </c>
      <c r="E22" s="35" t="s">
        <v>121</v>
      </c>
      <c r="F22" s="41">
        <v>11.44</v>
      </c>
      <c r="G22" s="41">
        <v>1</v>
      </c>
      <c r="H22" s="41"/>
      <c r="I22" s="41"/>
      <c r="J22" s="90">
        <v>70.209999999999994</v>
      </c>
      <c r="K22" s="41">
        <f t="shared" si="0"/>
        <v>873.41239999999993</v>
      </c>
      <c r="L22" s="42"/>
    </row>
    <row r="23" spans="2:12" ht="15" customHeight="1" x14ac:dyDescent="0.2">
      <c r="B23" s="119"/>
      <c r="C23" s="40" t="s">
        <v>104</v>
      </c>
      <c r="D23" s="36" t="s">
        <v>133</v>
      </c>
      <c r="E23" s="36" t="s">
        <v>37</v>
      </c>
      <c r="F23" s="43">
        <v>11.5</v>
      </c>
      <c r="G23" s="43">
        <v>1</v>
      </c>
      <c r="H23" s="43"/>
      <c r="I23" s="43"/>
      <c r="J23" s="91">
        <v>15.89</v>
      </c>
      <c r="K23" s="43">
        <f t="shared" si="0"/>
        <v>198.625</v>
      </c>
      <c r="L23" s="44"/>
    </row>
    <row r="24" spans="2:12" ht="15" thickBot="1" x14ac:dyDescent="0.25">
      <c r="B24" s="119"/>
      <c r="C24" s="128" t="s">
        <v>180</v>
      </c>
      <c r="D24" s="35" t="s">
        <v>132</v>
      </c>
      <c r="E24" s="35" t="s">
        <v>137</v>
      </c>
      <c r="F24" s="41">
        <v>10</v>
      </c>
      <c r="G24" s="41"/>
      <c r="H24" s="41"/>
      <c r="I24" s="41"/>
      <c r="J24" s="129">
        <v>15</v>
      </c>
      <c r="K24" s="41">
        <f t="shared" si="0"/>
        <v>150</v>
      </c>
      <c r="L24" s="42"/>
    </row>
    <row r="25" spans="2:12" x14ac:dyDescent="0.2">
      <c r="B25" s="117" t="s">
        <v>69</v>
      </c>
      <c r="C25" s="28"/>
      <c r="D25" s="96" t="s">
        <v>39</v>
      </c>
      <c r="E25" s="97" t="s">
        <v>40</v>
      </c>
      <c r="F25" s="98">
        <v>11.5</v>
      </c>
      <c r="G25" s="98">
        <v>2.25</v>
      </c>
      <c r="H25" s="98">
        <v>80</v>
      </c>
      <c r="I25" s="98"/>
      <c r="J25" s="99">
        <v>116.35</v>
      </c>
      <c r="K25" s="98">
        <f>+F25*J25+(G25*J25)+H25</f>
        <v>1679.8124999999998</v>
      </c>
      <c r="L25" s="100"/>
    </row>
    <row r="26" spans="2:12" x14ac:dyDescent="0.2">
      <c r="B26" s="118"/>
      <c r="C26" s="32"/>
      <c r="D26" s="101" t="s">
        <v>54</v>
      </c>
      <c r="E26" s="36" t="s">
        <v>37</v>
      </c>
      <c r="F26" s="43">
        <v>11.7</v>
      </c>
      <c r="G26" s="43">
        <v>2</v>
      </c>
      <c r="H26" s="43">
        <v>100</v>
      </c>
      <c r="I26" s="43"/>
      <c r="J26" s="91">
        <v>165.14</v>
      </c>
      <c r="K26" s="43">
        <f t="shared" ref="K26:K44" si="1">+F26*J26+(G26*J26)+H26</f>
        <v>2362.4179999999997</v>
      </c>
      <c r="L26" s="102"/>
    </row>
    <row r="27" spans="2:12" x14ac:dyDescent="0.2">
      <c r="B27" s="118"/>
      <c r="C27" s="32"/>
      <c r="D27" s="103" t="s">
        <v>53</v>
      </c>
      <c r="E27" s="35" t="s">
        <v>66</v>
      </c>
      <c r="F27" s="41">
        <v>11.44</v>
      </c>
      <c r="G27" s="41">
        <v>3</v>
      </c>
      <c r="H27" s="45">
        <v>80</v>
      </c>
      <c r="I27" s="41"/>
      <c r="J27" s="90">
        <v>100</v>
      </c>
      <c r="K27" s="41">
        <f t="shared" si="1"/>
        <v>1524</v>
      </c>
      <c r="L27" s="104"/>
    </row>
    <row r="28" spans="2:12" ht="17" customHeight="1" x14ac:dyDescent="0.2">
      <c r="B28" s="118"/>
      <c r="C28" s="32"/>
      <c r="D28" s="101" t="s">
        <v>129</v>
      </c>
      <c r="E28" s="36" t="s">
        <v>123</v>
      </c>
      <c r="F28" s="94">
        <v>11.44</v>
      </c>
      <c r="G28" s="43">
        <v>0.5</v>
      </c>
      <c r="H28" s="43"/>
      <c r="I28" s="43"/>
      <c r="J28" s="91">
        <v>40.369999999999997</v>
      </c>
      <c r="K28" s="43">
        <f t="shared" si="1"/>
        <v>482.01779999999997</v>
      </c>
      <c r="L28" s="102"/>
    </row>
    <row r="29" spans="2:12" x14ac:dyDescent="0.2">
      <c r="B29" s="118"/>
      <c r="C29" s="32"/>
      <c r="D29" s="103" t="s">
        <v>41</v>
      </c>
      <c r="E29" s="35" t="s">
        <v>42</v>
      </c>
      <c r="F29" s="41">
        <v>11.44</v>
      </c>
      <c r="G29" s="41">
        <v>2</v>
      </c>
      <c r="H29" s="41"/>
      <c r="I29" s="41"/>
      <c r="J29" s="90">
        <v>81.38</v>
      </c>
      <c r="K29" s="41">
        <f t="shared" si="1"/>
        <v>1093.7471999999998</v>
      </c>
      <c r="L29" s="104"/>
    </row>
    <row r="30" spans="2:12" x14ac:dyDescent="0.2">
      <c r="B30" s="118"/>
      <c r="C30" s="32"/>
      <c r="D30" s="101" t="s">
        <v>70</v>
      </c>
      <c r="E30" s="36" t="s">
        <v>36</v>
      </c>
      <c r="F30" s="43">
        <v>11.44</v>
      </c>
      <c r="G30" s="43">
        <v>2</v>
      </c>
      <c r="H30" s="43"/>
      <c r="I30" s="43"/>
      <c r="J30" s="91">
        <v>82.48</v>
      </c>
      <c r="K30" s="43">
        <f t="shared" si="1"/>
        <v>1108.5311999999999</v>
      </c>
      <c r="L30" s="102"/>
    </row>
    <row r="31" spans="2:12" x14ac:dyDescent="0.2">
      <c r="B31" s="118"/>
      <c r="C31" s="32"/>
      <c r="D31" s="103" t="s">
        <v>80</v>
      </c>
      <c r="E31" s="35" t="s">
        <v>66</v>
      </c>
      <c r="F31" s="41">
        <v>11.5</v>
      </c>
      <c r="G31" s="45">
        <v>2</v>
      </c>
      <c r="H31" s="41"/>
      <c r="I31" s="41"/>
      <c r="J31" s="90">
        <v>157.28</v>
      </c>
      <c r="K31" s="41">
        <f t="shared" si="1"/>
        <v>2123.2800000000002</v>
      </c>
      <c r="L31" s="104"/>
    </row>
    <row r="32" spans="2:12" x14ac:dyDescent="0.2">
      <c r="B32" s="118"/>
      <c r="C32" s="32"/>
      <c r="D32" s="101" t="s">
        <v>71</v>
      </c>
      <c r="E32" s="36" t="s">
        <v>38</v>
      </c>
      <c r="F32" s="43">
        <v>13.6</v>
      </c>
      <c r="G32" s="43"/>
      <c r="H32" s="43">
        <v>100</v>
      </c>
      <c r="I32" s="43"/>
      <c r="J32" s="91">
        <v>213.56</v>
      </c>
      <c r="K32" s="43">
        <f t="shared" si="1"/>
        <v>3004.4160000000002</v>
      </c>
      <c r="L32" s="102"/>
    </row>
    <row r="33" spans="2:14" x14ac:dyDescent="0.2">
      <c r="B33" s="118"/>
      <c r="C33" s="32"/>
      <c r="D33" s="103" t="s">
        <v>67</v>
      </c>
      <c r="E33" s="35" t="s">
        <v>68</v>
      </c>
      <c r="F33" s="41">
        <v>10</v>
      </c>
      <c r="G33" s="41">
        <v>0.5</v>
      </c>
      <c r="H33" s="41"/>
      <c r="I33" s="41"/>
      <c r="J33" s="90">
        <v>52.22</v>
      </c>
      <c r="K33" s="41">
        <f t="shared" si="1"/>
        <v>548.31000000000006</v>
      </c>
      <c r="L33" s="104"/>
    </row>
    <row r="34" spans="2:14" x14ac:dyDescent="0.2">
      <c r="B34" s="118"/>
      <c r="D34" s="101" t="s">
        <v>51</v>
      </c>
      <c r="E34" s="36" t="s">
        <v>52</v>
      </c>
      <c r="F34" s="43">
        <v>11.44</v>
      </c>
      <c r="G34" s="43">
        <v>1.5</v>
      </c>
      <c r="H34" s="43"/>
      <c r="I34" s="43"/>
      <c r="J34" s="91">
        <v>72.7</v>
      </c>
      <c r="K34" s="43">
        <f t="shared" si="1"/>
        <v>940.73800000000006</v>
      </c>
      <c r="L34" s="102"/>
    </row>
    <row r="35" spans="2:14" x14ac:dyDescent="0.2">
      <c r="B35" s="118"/>
      <c r="C35" s="32" t="s">
        <v>181</v>
      </c>
      <c r="D35" s="103" t="s">
        <v>72</v>
      </c>
      <c r="E35" s="35" t="s">
        <v>73</v>
      </c>
      <c r="F35" s="41">
        <v>11.44</v>
      </c>
      <c r="G35" s="41">
        <v>0.5</v>
      </c>
      <c r="H35" s="88"/>
      <c r="I35" s="88"/>
      <c r="J35" s="90">
        <v>0</v>
      </c>
      <c r="K35" s="41">
        <f t="shared" si="1"/>
        <v>0</v>
      </c>
      <c r="L35" s="104"/>
    </row>
    <row r="36" spans="2:14" x14ac:dyDescent="0.2">
      <c r="B36" s="118"/>
      <c r="C36" s="32"/>
      <c r="D36" s="101" t="s">
        <v>91</v>
      </c>
      <c r="E36" s="36" t="s">
        <v>92</v>
      </c>
      <c r="F36" s="43">
        <v>11.5</v>
      </c>
      <c r="G36" s="43">
        <v>0.5</v>
      </c>
      <c r="H36" s="43"/>
      <c r="I36" s="43">
        <v>100</v>
      </c>
      <c r="J36" s="91">
        <v>203.03</v>
      </c>
      <c r="K36" s="43">
        <f t="shared" si="1"/>
        <v>2436.3599999999997</v>
      </c>
      <c r="L36" s="102"/>
    </row>
    <row r="37" spans="2:14" x14ac:dyDescent="0.2">
      <c r="B37" s="119"/>
      <c r="C37" s="32"/>
      <c r="D37" s="103" t="s">
        <v>93</v>
      </c>
      <c r="E37" s="35" t="s">
        <v>94</v>
      </c>
      <c r="F37" s="41">
        <v>11.44</v>
      </c>
      <c r="G37" s="41">
        <v>2</v>
      </c>
      <c r="H37" s="41"/>
      <c r="I37" s="41"/>
      <c r="J37" s="90">
        <v>108.78</v>
      </c>
      <c r="K37" s="41">
        <f t="shared" si="1"/>
        <v>1462.0031999999999</v>
      </c>
      <c r="L37" s="104"/>
    </row>
    <row r="38" spans="2:14" x14ac:dyDescent="0.2">
      <c r="B38" s="119"/>
      <c r="D38" s="101" t="s">
        <v>100</v>
      </c>
      <c r="E38" s="36" t="s">
        <v>101</v>
      </c>
      <c r="F38" s="43">
        <v>11.44</v>
      </c>
      <c r="G38" s="43">
        <v>1</v>
      </c>
      <c r="H38" s="43"/>
      <c r="I38" s="94">
        <f>+N38*F38+N38</f>
        <v>467.37079999999992</v>
      </c>
      <c r="J38" s="91">
        <v>117.57</v>
      </c>
      <c r="K38" s="43">
        <f t="shared" si="1"/>
        <v>1462.5707999999997</v>
      </c>
      <c r="L38" s="102"/>
      <c r="M38" s="5">
        <f>+J38</f>
        <v>117.57</v>
      </c>
      <c r="N38" s="5">
        <f>+M38-80</f>
        <v>37.569999999999993</v>
      </c>
    </row>
    <row r="39" spans="2:14" x14ac:dyDescent="0.2">
      <c r="B39" s="119"/>
      <c r="C39" s="32"/>
      <c r="D39" s="103" t="s">
        <v>105</v>
      </c>
      <c r="E39" s="35" t="s">
        <v>106</v>
      </c>
      <c r="F39" s="41">
        <v>11.5</v>
      </c>
      <c r="G39" s="41">
        <v>0.5</v>
      </c>
      <c r="H39" s="41"/>
      <c r="I39" s="41"/>
      <c r="J39" s="90">
        <v>66.709999999999994</v>
      </c>
      <c r="K39" s="41">
        <f t="shared" si="1"/>
        <v>800.52</v>
      </c>
      <c r="L39" s="104"/>
    </row>
    <row r="40" spans="2:14" x14ac:dyDescent="0.2">
      <c r="B40" s="119"/>
      <c r="C40" s="32"/>
      <c r="D40" s="101" t="s">
        <v>108</v>
      </c>
      <c r="E40" s="36" t="s">
        <v>169</v>
      </c>
      <c r="F40" s="43">
        <v>9</v>
      </c>
      <c r="G40" s="43">
        <v>0.5</v>
      </c>
      <c r="H40" s="43"/>
      <c r="I40" s="43"/>
      <c r="J40" s="91">
        <v>70.239999999999995</v>
      </c>
      <c r="K40" s="43">
        <f t="shared" si="1"/>
        <v>667.28</v>
      </c>
      <c r="L40" s="102"/>
    </row>
    <row r="41" spans="2:14" x14ac:dyDescent="0.2">
      <c r="B41" s="119"/>
      <c r="C41" s="32" t="s">
        <v>103</v>
      </c>
      <c r="D41" s="103" t="s">
        <v>143</v>
      </c>
      <c r="E41" s="35" t="s">
        <v>170</v>
      </c>
      <c r="F41" s="41">
        <v>12.5</v>
      </c>
      <c r="G41" s="41">
        <v>1</v>
      </c>
      <c r="H41" s="41"/>
      <c r="I41" s="41"/>
      <c r="J41" s="90">
        <v>31.05</v>
      </c>
      <c r="K41" s="41">
        <f t="shared" si="1"/>
        <v>419.17500000000001</v>
      </c>
      <c r="L41" s="104"/>
    </row>
    <row r="42" spans="2:14" x14ac:dyDescent="0.2">
      <c r="B42" s="119"/>
      <c r="C42" s="32"/>
      <c r="D42" s="101" t="s">
        <v>114</v>
      </c>
      <c r="E42" s="36" t="s">
        <v>115</v>
      </c>
      <c r="F42" s="43">
        <v>9</v>
      </c>
      <c r="G42" s="43">
        <v>0.5</v>
      </c>
      <c r="H42" s="43"/>
      <c r="I42" s="43"/>
      <c r="J42" s="91">
        <v>35.729999999999997</v>
      </c>
      <c r="K42" s="43">
        <f t="shared" si="1"/>
        <v>339.435</v>
      </c>
      <c r="L42" s="102"/>
    </row>
    <row r="43" spans="2:14" x14ac:dyDescent="0.2">
      <c r="B43" s="119"/>
      <c r="C43" s="32" t="s">
        <v>104</v>
      </c>
      <c r="D43" s="103" t="s">
        <v>144</v>
      </c>
      <c r="E43" s="35" t="s">
        <v>176</v>
      </c>
      <c r="F43" s="41">
        <v>11.5</v>
      </c>
      <c r="G43" s="41">
        <v>1</v>
      </c>
      <c r="H43" s="41"/>
      <c r="I43" s="41"/>
      <c r="J43" s="90">
        <v>52.06</v>
      </c>
      <c r="K43" s="41">
        <f t="shared" si="1"/>
        <v>650.75</v>
      </c>
      <c r="L43" s="104"/>
    </row>
    <row r="44" spans="2:14" ht="15" thickBot="1" x14ac:dyDescent="0.25">
      <c r="B44" s="119"/>
      <c r="C44" s="32"/>
      <c r="D44" s="105" t="s">
        <v>86</v>
      </c>
      <c r="E44" s="106" t="s">
        <v>87</v>
      </c>
      <c r="F44" s="107">
        <v>13.6</v>
      </c>
      <c r="G44" s="107"/>
      <c r="H44" s="107"/>
      <c r="I44" s="107">
        <v>100</v>
      </c>
      <c r="J44" s="127">
        <v>175.27</v>
      </c>
      <c r="K44" s="107">
        <f t="shared" si="1"/>
        <v>2383.672</v>
      </c>
      <c r="L44" s="108"/>
    </row>
    <row r="45" spans="2:14" x14ac:dyDescent="0.2">
      <c r="B45" s="117" t="s">
        <v>88</v>
      </c>
      <c r="C45" s="28"/>
      <c r="D45" s="96" t="s">
        <v>97</v>
      </c>
      <c r="E45" s="97" t="s">
        <v>98</v>
      </c>
      <c r="F45" s="98">
        <v>11.44</v>
      </c>
      <c r="G45" s="98"/>
      <c r="H45" s="98">
        <v>90</v>
      </c>
      <c r="I45" s="98"/>
      <c r="J45" s="112">
        <v>81.150000000000006</v>
      </c>
      <c r="K45" s="98">
        <f t="shared" ref="K45:K53" si="2">+F45*J45+(G45*J45)+H45</f>
        <v>1018.356</v>
      </c>
      <c r="L45" s="100"/>
    </row>
    <row r="46" spans="2:14" x14ac:dyDescent="0.2">
      <c r="B46" s="118"/>
      <c r="C46" s="32"/>
      <c r="D46" s="101" t="s">
        <v>28</v>
      </c>
      <c r="E46" s="36" t="s">
        <v>74</v>
      </c>
      <c r="F46" s="43">
        <v>11.44</v>
      </c>
      <c r="G46" s="43"/>
      <c r="H46" s="43"/>
      <c r="I46" s="43">
        <v>80</v>
      </c>
      <c r="J46" s="92">
        <v>171.23</v>
      </c>
      <c r="K46" s="43">
        <f t="shared" si="2"/>
        <v>1958.8711999999998</v>
      </c>
      <c r="L46" s="102"/>
    </row>
    <row r="47" spans="2:14" x14ac:dyDescent="0.2">
      <c r="B47" s="118"/>
      <c r="C47" s="32"/>
      <c r="D47" s="103" t="s">
        <v>30</v>
      </c>
      <c r="E47" s="35" t="s">
        <v>31</v>
      </c>
      <c r="F47" s="41">
        <v>11.44</v>
      </c>
      <c r="G47" s="41"/>
      <c r="H47" s="41"/>
      <c r="I47" s="41">
        <v>80</v>
      </c>
      <c r="J47" s="93">
        <v>198.93</v>
      </c>
      <c r="K47" s="41">
        <f t="shared" si="2"/>
        <v>2275.7592</v>
      </c>
      <c r="L47" s="104"/>
    </row>
    <row r="48" spans="2:14" x14ac:dyDescent="0.2">
      <c r="B48" s="119"/>
      <c r="C48" s="32"/>
      <c r="D48" s="101" t="s">
        <v>124</v>
      </c>
      <c r="E48" s="36" t="s">
        <v>125</v>
      </c>
      <c r="F48" s="43">
        <v>11.44</v>
      </c>
      <c r="G48" s="43">
        <v>0.5</v>
      </c>
      <c r="H48" s="43"/>
      <c r="I48" s="43"/>
      <c r="J48" s="92">
        <v>92.52</v>
      </c>
      <c r="K48" s="43">
        <f>+J48*F48+J48*G48</f>
        <v>1104.6887999999999</v>
      </c>
      <c r="L48" s="102"/>
    </row>
    <row r="49" spans="2:12" x14ac:dyDescent="0.2">
      <c r="B49" s="119"/>
      <c r="C49" s="32"/>
      <c r="D49" s="103" t="s">
        <v>126</v>
      </c>
      <c r="E49" s="35" t="s">
        <v>127</v>
      </c>
      <c r="F49" s="41">
        <v>8</v>
      </c>
      <c r="G49" s="41">
        <v>1</v>
      </c>
      <c r="H49" s="41"/>
      <c r="I49" s="41"/>
      <c r="J49" s="93">
        <v>29.96</v>
      </c>
      <c r="K49" s="41">
        <f>+J49*F49+J49*G49</f>
        <v>269.64</v>
      </c>
      <c r="L49" s="104"/>
    </row>
    <row r="50" spans="2:12" x14ac:dyDescent="0.2">
      <c r="B50" s="119"/>
      <c r="C50" s="32" t="s">
        <v>102</v>
      </c>
      <c r="D50" s="103" t="s">
        <v>141</v>
      </c>
      <c r="E50" s="35" t="s">
        <v>167</v>
      </c>
      <c r="F50" s="41">
        <v>11.44</v>
      </c>
      <c r="G50" s="41">
        <v>1.56</v>
      </c>
      <c r="H50" s="41"/>
      <c r="I50" s="41"/>
      <c r="J50" s="93">
        <f>13.97-5.39+9.49</f>
        <v>18.07</v>
      </c>
      <c r="K50" s="41"/>
      <c r="L50" s="104"/>
    </row>
    <row r="51" spans="2:12" x14ac:dyDescent="0.2">
      <c r="B51" s="119"/>
      <c r="C51" s="32"/>
      <c r="D51" s="101" t="s">
        <v>135</v>
      </c>
      <c r="E51" s="36" t="s">
        <v>145</v>
      </c>
      <c r="F51" s="43">
        <v>11.44</v>
      </c>
      <c r="G51" s="43">
        <v>0.5</v>
      </c>
      <c r="H51" s="43"/>
      <c r="I51" s="43"/>
      <c r="J51" s="92">
        <v>72.73</v>
      </c>
      <c r="K51" s="43"/>
      <c r="L51" s="102"/>
    </row>
    <row r="52" spans="2:12" x14ac:dyDescent="0.2">
      <c r="B52" s="119"/>
      <c r="C52" s="32" t="s">
        <v>102</v>
      </c>
      <c r="D52" s="101" t="s">
        <v>142</v>
      </c>
      <c r="E52" s="36" t="s">
        <v>168</v>
      </c>
      <c r="F52" s="43">
        <v>11.44</v>
      </c>
      <c r="G52" s="43">
        <v>1</v>
      </c>
      <c r="H52" s="43"/>
      <c r="I52" s="43"/>
      <c r="J52" s="92">
        <v>10</v>
      </c>
      <c r="K52" s="43"/>
      <c r="L52" s="102"/>
    </row>
    <row r="53" spans="2:12" ht="15" thickBot="1" x14ac:dyDescent="0.25">
      <c r="B53" s="120"/>
      <c r="C53" s="33"/>
      <c r="D53" s="113" t="s">
        <v>14</v>
      </c>
      <c r="E53" s="114" t="s">
        <v>14</v>
      </c>
      <c r="F53" s="115">
        <v>11.5</v>
      </c>
      <c r="G53" s="115">
        <v>2</v>
      </c>
      <c r="H53" s="115"/>
      <c r="I53" s="115"/>
      <c r="J53" s="126">
        <v>190.23</v>
      </c>
      <c r="K53" s="115">
        <f t="shared" si="2"/>
        <v>2568.105</v>
      </c>
      <c r="L53" s="116"/>
    </row>
    <row r="54" spans="2:12" ht="26" customHeight="1" thickBot="1" x14ac:dyDescent="0.25">
      <c r="B54" s="121" t="s">
        <v>76</v>
      </c>
      <c r="C54" s="122"/>
      <c r="D54" s="109"/>
      <c r="E54" s="110"/>
      <c r="F54" s="95">
        <f>+AVERAGE(F7:F53)</f>
        <v>11.297021276595746</v>
      </c>
      <c r="G54" s="110"/>
      <c r="H54" s="95">
        <f>+SUM(H7:H53)</f>
        <v>860</v>
      </c>
      <c r="I54" s="110">
        <f>+SUM(I7:I53)</f>
        <v>827.37079999999992</v>
      </c>
      <c r="J54" s="110">
        <f>+SUM(J7:J53)</f>
        <v>4302.09</v>
      </c>
      <c r="K54" s="95">
        <f>+SUM(K7:K53)</f>
        <v>54343.12769999999</v>
      </c>
      <c r="L54" s="111"/>
    </row>
  </sheetData>
  <mergeCells count="4">
    <mergeCell ref="B7:B24"/>
    <mergeCell ref="B25:B44"/>
    <mergeCell ref="B45:B53"/>
    <mergeCell ref="B54:C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6"/>
  <sheetViews>
    <sheetView topLeftCell="A4" workbookViewId="0">
      <selection activeCell="G15" sqref="G15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32.6640625" style="5" bestFit="1" customWidth="1"/>
    <col min="9" max="256" width="11" style="5" customWidth="1"/>
    <col min="257" max="16384" width="8.83203125" style="5"/>
  </cols>
  <sheetData>
    <row r="3" spans="2:10" x14ac:dyDescent="0.2">
      <c r="B3" s="123" t="s">
        <v>5</v>
      </c>
      <c r="C3" s="123"/>
      <c r="D3" s="123"/>
      <c r="E3" s="123"/>
      <c r="F3" s="123"/>
      <c r="G3" s="123"/>
      <c r="H3" s="123"/>
    </row>
    <row r="4" spans="2:10" x14ac:dyDescent="0.2">
      <c r="B4" s="123"/>
      <c r="C4" s="123"/>
      <c r="D4" s="123"/>
      <c r="E4" s="123"/>
      <c r="F4" s="123"/>
      <c r="G4" s="123"/>
      <c r="H4" s="123"/>
    </row>
    <row r="5" spans="2:10" ht="29" customHeight="1" x14ac:dyDescent="0.2"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6</v>
      </c>
      <c r="H5" s="15" t="s">
        <v>34</v>
      </c>
    </row>
    <row r="6" spans="2:10" ht="14" customHeight="1" x14ac:dyDescent="0.2">
      <c r="B6" s="13" t="s">
        <v>72</v>
      </c>
      <c r="C6" s="6"/>
      <c r="D6" s="6"/>
      <c r="E6" s="14"/>
      <c r="G6" s="26">
        <f>11.44*10*8</f>
        <v>915.19999999999993</v>
      </c>
      <c r="H6" s="27"/>
    </row>
    <row r="7" spans="2:10" ht="14" customHeight="1" x14ac:dyDescent="0.2">
      <c r="B7" s="13" t="s">
        <v>91</v>
      </c>
      <c r="C7" s="6"/>
      <c r="D7" s="6"/>
      <c r="E7" s="14"/>
      <c r="G7" s="5">
        <f>11.44*8*20</f>
        <v>1830.3999999999999</v>
      </c>
      <c r="H7" s="27"/>
    </row>
    <row r="8" spans="2:10" ht="14" customHeight="1" x14ac:dyDescent="0.2">
      <c r="B8" s="13" t="s">
        <v>30</v>
      </c>
      <c r="C8" s="6"/>
      <c r="D8" s="6"/>
      <c r="E8" s="14"/>
      <c r="G8" s="87">
        <f>11.44*8*13</f>
        <v>1189.76</v>
      </c>
      <c r="H8" s="27"/>
    </row>
    <row r="9" spans="2:10" ht="14" customHeight="1" x14ac:dyDescent="0.2">
      <c r="B9" s="13" t="s">
        <v>28</v>
      </c>
      <c r="C9" s="6"/>
      <c r="D9" s="6"/>
      <c r="E9" s="14"/>
      <c r="G9" s="87">
        <f>11.44*8*14</f>
        <v>1281.28</v>
      </c>
      <c r="H9" s="27"/>
    </row>
    <row r="10" spans="2:10" ht="14" customHeight="1" x14ac:dyDescent="0.2">
      <c r="B10" s="13" t="s">
        <v>14</v>
      </c>
      <c r="C10" s="6"/>
      <c r="D10" s="6"/>
      <c r="E10" s="14"/>
      <c r="G10" s="87">
        <f>11.44*3*8</f>
        <v>274.56</v>
      </c>
      <c r="H10" s="27"/>
    </row>
    <row r="11" spans="2:10" x14ac:dyDescent="0.2">
      <c r="B11" s="13" t="s">
        <v>89</v>
      </c>
      <c r="C11" s="6"/>
      <c r="D11" s="6"/>
      <c r="E11" s="14"/>
      <c r="G11" s="87">
        <f>11.44*18*8</f>
        <v>1647.36</v>
      </c>
      <c r="H11" s="27"/>
    </row>
    <row r="12" spans="2:10" x14ac:dyDescent="0.2">
      <c r="B12" s="13" t="s">
        <v>130</v>
      </c>
      <c r="C12" s="6"/>
      <c r="D12" s="6"/>
      <c r="E12" s="14"/>
      <c r="G12" s="87">
        <f>11.44*1.6*8</f>
        <v>146.43199999999999</v>
      </c>
      <c r="H12" s="27"/>
    </row>
    <row r="13" spans="2:10" x14ac:dyDescent="0.2">
      <c r="B13" s="13" t="s">
        <v>133</v>
      </c>
      <c r="C13" s="6"/>
      <c r="D13" s="6"/>
      <c r="E13" s="14"/>
      <c r="G13" s="87">
        <f>11.44*2*8*2</f>
        <v>366.08</v>
      </c>
      <c r="H13" s="27"/>
    </row>
    <row r="14" spans="2:10" ht="15" thickBot="1" x14ac:dyDescent="0.25">
      <c r="B14" s="3" t="s">
        <v>6</v>
      </c>
      <c r="C14" s="4"/>
      <c r="D14" s="4"/>
      <c r="E14" s="4"/>
      <c r="F14" s="4"/>
      <c r="G14" s="21">
        <f>+SUM(G6:G13)</f>
        <v>7651.0719999999992</v>
      </c>
      <c r="H14" s="53"/>
    </row>
    <row r="15" spans="2:10" ht="15" thickTop="1" x14ac:dyDescent="0.2">
      <c r="B15" s="8"/>
      <c r="C15" s="7"/>
      <c r="D15" s="7"/>
      <c r="E15" s="7"/>
      <c r="F15" s="7"/>
      <c r="G15" s="9"/>
      <c r="H15" s="54"/>
    </row>
    <row r="16" spans="2:10" x14ac:dyDescent="0.2">
      <c r="B16" s="123"/>
      <c r="C16" s="123"/>
      <c r="D16" s="123"/>
      <c r="E16" s="123"/>
      <c r="F16" s="123"/>
      <c r="G16" s="123"/>
      <c r="H16" s="123"/>
      <c r="I16" s="2"/>
      <c r="J16" s="54"/>
    </row>
  </sheetData>
  <mergeCells count="3">
    <mergeCell ref="B16:H16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6"/>
  <sheetViews>
    <sheetView tabSelected="1" topLeftCell="A2" zoomScale="120" zoomScaleNormal="120" workbookViewId="0">
      <selection activeCell="B15" sqref="B15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55"/>
      <c r="B1" s="18"/>
      <c r="C1" s="18"/>
      <c r="D1" s="18"/>
      <c r="E1" s="18"/>
      <c r="F1" s="18"/>
      <c r="G1" s="18"/>
      <c r="H1" s="18"/>
      <c r="I1" s="18"/>
      <c r="J1" s="18"/>
      <c r="K1" s="56"/>
    </row>
    <row r="2" spans="1:11" ht="32" customHeight="1" x14ac:dyDescent="0.2">
      <c r="A2" s="55"/>
      <c r="B2" s="83" t="s">
        <v>77</v>
      </c>
      <c r="C2" s="83" t="s">
        <v>32</v>
      </c>
      <c r="D2" s="83" t="s">
        <v>46</v>
      </c>
      <c r="E2" s="83" t="s">
        <v>9</v>
      </c>
      <c r="F2" s="83" t="s">
        <v>10</v>
      </c>
      <c r="G2" s="83" t="s">
        <v>35</v>
      </c>
      <c r="H2" s="83" t="s">
        <v>12</v>
      </c>
      <c r="I2" s="83" t="s">
        <v>50</v>
      </c>
      <c r="J2" s="83" t="s">
        <v>99</v>
      </c>
      <c r="K2" s="46"/>
    </row>
    <row r="3" spans="1:11" ht="13" customHeight="1" x14ac:dyDescent="0.2">
      <c r="A3" s="57"/>
      <c r="B3" s="20"/>
      <c r="C3" s="58"/>
      <c r="D3" s="59"/>
      <c r="E3" s="60"/>
      <c r="F3" s="61"/>
      <c r="G3" s="62"/>
      <c r="H3" s="17"/>
      <c r="I3" s="17"/>
      <c r="J3" s="17"/>
      <c r="K3" s="63"/>
    </row>
    <row r="4" spans="1:11" x14ac:dyDescent="0.2">
      <c r="A4" s="57"/>
      <c r="B4" s="20"/>
      <c r="C4" s="58"/>
      <c r="D4" s="69"/>
      <c r="E4" s="70"/>
      <c r="F4" s="61"/>
      <c r="G4" s="62"/>
      <c r="H4" s="17"/>
      <c r="I4" s="17"/>
      <c r="J4" s="17"/>
      <c r="K4" s="63"/>
    </row>
    <row r="5" spans="1:11" x14ac:dyDescent="0.2">
      <c r="A5" s="57"/>
      <c r="B5" s="20"/>
      <c r="D5" s="69"/>
      <c r="E5" s="73"/>
      <c r="F5" s="61"/>
      <c r="G5" s="62"/>
      <c r="H5" s="17"/>
      <c r="I5" s="17"/>
      <c r="J5" s="17"/>
      <c r="K5" s="63"/>
    </row>
    <row r="6" spans="1:11" x14ac:dyDescent="0.2">
      <c r="A6" s="55"/>
      <c r="B6" s="64" t="s">
        <v>163</v>
      </c>
      <c r="C6" s="71" t="s">
        <v>164</v>
      </c>
      <c r="D6" s="72" t="s">
        <v>165</v>
      </c>
      <c r="E6" s="65" t="s">
        <v>166</v>
      </c>
      <c r="F6" s="66"/>
      <c r="G6" s="67"/>
      <c r="H6" s="68"/>
      <c r="I6" s="68"/>
      <c r="J6" s="68"/>
      <c r="K6" s="63"/>
    </row>
    <row r="7" spans="1:11" x14ac:dyDescent="0.2">
      <c r="A7" s="18"/>
      <c r="B7" s="20" t="s">
        <v>150</v>
      </c>
      <c r="C7" s="58" t="s">
        <v>151</v>
      </c>
      <c r="D7" s="59" t="s">
        <v>152</v>
      </c>
      <c r="E7" s="125" t="s">
        <v>153</v>
      </c>
      <c r="F7" s="61"/>
      <c r="G7" s="62"/>
      <c r="H7" s="17"/>
      <c r="I7" s="74"/>
      <c r="J7" s="17"/>
      <c r="K7" s="63"/>
    </row>
    <row r="8" spans="1:11" x14ac:dyDescent="0.2">
      <c r="A8" s="55"/>
      <c r="B8" s="64" t="s">
        <v>146</v>
      </c>
      <c r="C8" s="71" t="s">
        <v>147</v>
      </c>
      <c r="D8" s="65" t="s">
        <v>148</v>
      </c>
      <c r="E8" s="65" t="s">
        <v>149</v>
      </c>
      <c r="F8" s="66"/>
      <c r="G8" s="68"/>
      <c r="H8" s="68"/>
      <c r="I8" s="68"/>
      <c r="J8" s="68"/>
      <c r="K8" s="63"/>
    </row>
    <row r="9" spans="1:11" x14ac:dyDescent="0.2">
      <c r="A9" s="55"/>
      <c r="B9" s="20" t="s">
        <v>155</v>
      </c>
      <c r="C9" s="58" t="s">
        <v>154</v>
      </c>
      <c r="D9" s="75" t="s">
        <v>177</v>
      </c>
      <c r="E9" s="75" t="s">
        <v>178</v>
      </c>
      <c r="F9" s="61"/>
      <c r="G9" s="17"/>
      <c r="H9" s="17"/>
      <c r="I9" s="17"/>
      <c r="J9" s="17"/>
      <c r="K9" s="63"/>
    </row>
    <row r="10" spans="1:11" x14ac:dyDescent="0.2">
      <c r="A10" s="18"/>
      <c r="B10" s="64" t="s">
        <v>159</v>
      </c>
      <c r="C10" s="71" t="s">
        <v>160</v>
      </c>
      <c r="D10" s="65" t="s">
        <v>161</v>
      </c>
      <c r="E10" s="65" t="s">
        <v>162</v>
      </c>
      <c r="F10" s="76"/>
      <c r="G10" s="68"/>
      <c r="H10" s="68"/>
      <c r="I10" s="68"/>
      <c r="J10" s="68"/>
      <c r="K10" s="17"/>
    </row>
    <row r="11" spans="1:11" x14ac:dyDescent="0.2">
      <c r="A11" s="18"/>
      <c r="B11" s="20" t="s">
        <v>156</v>
      </c>
      <c r="C11" s="18" t="s">
        <v>157</v>
      </c>
      <c r="D11" s="77">
        <v>48868531</v>
      </c>
      <c r="E11" s="124" t="s">
        <v>158</v>
      </c>
      <c r="G11" s="18"/>
      <c r="H11" s="18"/>
      <c r="I11" s="18"/>
      <c r="J11" s="18"/>
      <c r="K11" s="18"/>
    </row>
    <row r="12" spans="1:11" x14ac:dyDescent="0.2">
      <c r="B12" s="78"/>
      <c r="C12" s="79"/>
      <c r="D12" s="80"/>
      <c r="E12" s="80"/>
      <c r="F12" s="79"/>
      <c r="G12" s="79"/>
      <c r="H12" s="79"/>
      <c r="I12" s="79"/>
      <c r="J12" s="79"/>
    </row>
    <row r="13" spans="1:11" x14ac:dyDescent="0.2">
      <c r="B13" s="81"/>
      <c r="D13" s="82"/>
      <c r="E13" s="73"/>
    </row>
    <row r="14" spans="1:11" x14ac:dyDescent="0.2">
      <c r="B14" s="78"/>
      <c r="C14" s="79"/>
      <c r="D14" s="80"/>
      <c r="E14" s="80"/>
      <c r="F14" s="79"/>
      <c r="G14" s="79"/>
      <c r="H14" s="79"/>
      <c r="I14" s="79"/>
      <c r="J14" s="79"/>
    </row>
    <row r="15" spans="1:11" x14ac:dyDescent="0.2">
      <c r="B15" s="81"/>
      <c r="D15" s="73"/>
      <c r="E15" s="73"/>
    </row>
    <row r="16" spans="1:11" x14ac:dyDescent="0.2">
      <c r="D16" s="73"/>
      <c r="E16" s="73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85"/>
      <c r="C6" s="85" t="s">
        <v>23</v>
      </c>
      <c r="D6" s="85" t="s">
        <v>16</v>
      </c>
      <c r="E6" s="85" t="s">
        <v>24</v>
      </c>
      <c r="F6" s="85" t="s">
        <v>27</v>
      </c>
      <c r="G6" s="85" t="s">
        <v>25</v>
      </c>
      <c r="H6" s="85"/>
      <c r="I6" s="85" t="s">
        <v>26</v>
      </c>
      <c r="J6" s="85" t="s">
        <v>19</v>
      </c>
      <c r="K6" s="85" t="s">
        <v>33</v>
      </c>
      <c r="L6" s="85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2">
        <f>I7*$B$14</f>
        <v>62.087500000000006</v>
      </c>
      <c r="K7" s="19">
        <f>J7/G7</f>
        <v>0.48907050019692799</v>
      </c>
      <c r="L7" s="25">
        <f>C7-B17</f>
        <v>126.94999999999999</v>
      </c>
    </row>
    <row r="8" spans="1:12" x14ac:dyDescent="0.2">
      <c r="B8" s="5" t="s">
        <v>96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2">
        <f t="shared" ref="J8:J9" si="2">I8*$B$14</f>
        <v>-107.92500000000001</v>
      </c>
      <c r="K8" s="19">
        <f t="shared" ref="K8:K9" si="3">J8/G8</f>
        <v>-0.41821669379214138</v>
      </c>
      <c r="L8" s="25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2">
        <f t="shared" si="2"/>
        <v>32.774999999999999</v>
      </c>
      <c r="K9" s="19">
        <f t="shared" si="3"/>
        <v>1.0072218807621389</v>
      </c>
      <c r="L9" s="25">
        <f t="shared" si="4"/>
        <v>42.54</v>
      </c>
    </row>
    <row r="10" spans="1:12" ht="17" customHeight="1" x14ac:dyDescent="0.2">
      <c r="E10" s="5" t="s">
        <v>48</v>
      </c>
      <c r="J10" s="22"/>
      <c r="K10" s="24"/>
      <c r="L10" s="25"/>
    </row>
    <row r="11" spans="1:12" ht="17" customHeight="1" x14ac:dyDescent="0.2">
      <c r="J11" s="22"/>
      <c r="K11" s="24"/>
      <c r="L11" s="25"/>
    </row>
    <row r="13" spans="1:12" x14ac:dyDescent="0.2">
      <c r="A13" s="84" t="s">
        <v>85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47" t="s">
        <v>18</v>
      </c>
      <c r="B17" s="5">
        <v>40</v>
      </c>
      <c r="C17" s="5" t="s">
        <v>47</v>
      </c>
    </row>
    <row r="18" spans="1:7" x14ac:dyDescent="0.2">
      <c r="A18" s="47" t="s">
        <v>17</v>
      </c>
      <c r="B18" s="5">
        <v>10</v>
      </c>
    </row>
    <row r="19" spans="1:7" x14ac:dyDescent="0.2">
      <c r="A19" s="47" t="s">
        <v>96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C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2024-12-16T13:34:55Z</dcterms:modified>
</cp:coreProperties>
</file>