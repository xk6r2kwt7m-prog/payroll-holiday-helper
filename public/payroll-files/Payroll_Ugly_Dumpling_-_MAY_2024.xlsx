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13_ncr:1_{13D190A3-D3D7-CE44-87C7-188098B27FAA}" xr6:coauthVersionLast="47" xr6:coauthVersionMax="47" xr10:uidLastSave="{00000000-0000-0000-0000-000000000000}"/>
  <bookViews>
    <workbookView xWindow="20" yWindow="500" windowWidth="28800" windowHeight="1638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2" l="1"/>
  <c r="F10" i="2"/>
  <c r="G9" i="2"/>
  <c r="F9" i="2"/>
  <c r="G8" i="2"/>
  <c r="G7" i="2"/>
  <c r="F8" i="2"/>
  <c r="F7" i="2"/>
  <c r="J33" i="9"/>
  <c r="G9" i="6"/>
  <c r="G8" i="6"/>
  <c r="H8" i="6" s="1"/>
  <c r="I8" i="6" s="1"/>
  <c r="J8" i="6" s="1"/>
  <c r="K8" i="6" s="1"/>
  <c r="F8" i="6"/>
  <c r="L8" i="6"/>
  <c r="L9" i="6"/>
  <c r="H9" i="6"/>
  <c r="I9" i="6" s="1"/>
  <c r="J9" i="6" s="1"/>
  <c r="K9" i="6" s="1"/>
  <c r="F9" i="6"/>
  <c r="J36" i="9" l="1"/>
  <c r="K31" i="9"/>
  <c r="K30" i="9"/>
  <c r="K20" i="9"/>
  <c r="K21" i="9"/>
  <c r="K22" i="9"/>
  <c r="K23" i="9"/>
  <c r="K24" i="9"/>
  <c r="K25" i="9"/>
  <c r="K26" i="9"/>
  <c r="K27" i="9"/>
  <c r="K28" i="9"/>
  <c r="K29" i="9"/>
  <c r="K32" i="9"/>
  <c r="F37" i="9"/>
  <c r="K17" i="9" l="1"/>
  <c r="K16" i="9"/>
  <c r="K7" i="9"/>
  <c r="K15" i="9"/>
  <c r="B4" i="3" l="1"/>
  <c r="K36" i="9"/>
  <c r="K18" i="9"/>
  <c r="H37" i="9"/>
  <c r="K33" i="9"/>
  <c r="K34" i="9"/>
  <c r="K8" i="9"/>
  <c r="K9" i="9"/>
  <c r="K10" i="9"/>
  <c r="K12" i="9"/>
  <c r="K13" i="9"/>
  <c r="K14" i="9"/>
  <c r="K19" i="9"/>
  <c r="K35" i="9"/>
  <c r="K11" i="9"/>
  <c r="D7" i="6"/>
  <c r="D9" i="6"/>
  <c r="K37" i="9" l="1"/>
  <c r="C7" i="3" s="1"/>
  <c r="J37" i="9"/>
  <c r="B24" i="6" l="1"/>
  <c r="F28" i="6" l="1"/>
  <c r="E26" i="6"/>
  <c r="F27" i="6" s="1"/>
  <c r="G27" i="6" s="1"/>
  <c r="G15" i="2" l="1"/>
  <c r="C9" i="3" s="1"/>
  <c r="L7" i="6" l="1"/>
  <c r="F7" i="6" l="1"/>
  <c r="G7" i="6" l="1"/>
  <c r="H7" i="6" l="1"/>
  <c r="I7" i="6" l="1"/>
  <c r="J7" i="6" s="1"/>
  <c r="I33" i="9" l="1"/>
  <c r="I37" i="9" s="1"/>
  <c r="C8" i="3" s="1"/>
  <c r="C10" i="3" l="1"/>
  <c r="K7" i="6"/>
</calcChain>
</file>

<file path=xl/sharedStrings.xml><?xml version="1.0" encoding="utf-8"?>
<sst xmlns="http://schemas.openxmlformats.org/spreadsheetml/2006/main" count="135" uniqueCount="124">
  <si>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</si>
  <si>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</si>
  <si>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</si>
  <si>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</si>
  <si>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</si>
  <si>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</si>
  <si>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</si>
  <si>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</si>
  <si>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</si>
  <si>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</si>
  <si>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</si>
  <si>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>Cham</t>
  </si>
  <si>
    <t xml:space="preserve">Lissette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</si>
  <si>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</si>
  <si>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</si>
  <si>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</si>
  <si>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</si>
  <si>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</si>
  <si>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</si>
  <si>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</si>
  <si>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</si>
  <si>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</si>
  <si>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</si>
  <si>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</si>
  <si>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</si>
  <si>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</si>
  <si>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</si>
  <si>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</si>
  <si>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</si>
  <si>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</si>
  <si>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</si>
  <si>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</si>
  <si>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</si>
  <si>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</si>
  <si>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</si>
  <si>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</si>
  <si>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</si>
  <si>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</si>
  <si>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</si>
  <si>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</si>
  <si>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</si>
  <si>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</si>
  <si>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</si>
  <si>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</si>
  <si>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</si>
  <si>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</si>
  <si>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</si>
  <si>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</si>
  <si>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</si>
  <si>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</si>
  <si>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</si>
  <si>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</si>
  <si>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</si>
  <si>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</si>
  <si>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</si>
  <si>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</si>
  <si>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</si>
  <si>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</si>
  <si>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</si>
  <si>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</si>
  <si>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</si>
  <si>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</si>
  <si>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</si>
  <si>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Iara </t>
  </si>
  <si>
    <t xml:space="preserve">Cabrita </t>
  </si>
  <si>
    <t xml:space="preserve">Jess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</si>
  <si>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</si>
  <si>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</si>
  <si>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</si>
  <si>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</si>
  <si>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</si>
  <si>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</si>
  <si>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</si>
  <si>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</si>
  <si>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</si>
  <si>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Department </t>
  </si>
  <si>
    <t>Rios</t>
  </si>
  <si>
    <t xml:space="preserve">Feliz </t>
  </si>
  <si>
    <t xml:space="preserve">Jhuli </t>
  </si>
  <si>
    <t xml:space="preserve">Vallejos </t>
  </si>
  <si>
    <t xml:space="preserve">Rios </t>
  </si>
  <si>
    <t xml:space="preserve">Stratcham </t>
  </si>
  <si>
    <t xml:space="preserve">BOH </t>
  </si>
  <si>
    <t>Anny</t>
  </si>
  <si>
    <t xml:space="preserve">Hafiz </t>
  </si>
  <si>
    <t xml:space="preserve">Akshay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</si>
  <si>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</si>
  <si>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</si>
  <si>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</si>
  <si>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</si>
  <si>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</si>
  <si>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</si>
  <si>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</si>
  <si>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</si>
  <si>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</si>
  <si>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</si>
  <si>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</si>
  <si>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Zineb </t>
  </si>
  <si>
    <t>Zanouny</t>
  </si>
  <si>
    <t xml:space="preserve"> Thomas-knott </t>
  </si>
  <si>
    <t xml:space="preserve">HOLIDAYS </t>
  </si>
  <si>
    <t xml:space="preserve">TIMESHEET </t>
  </si>
  <si>
    <t>Ref.:</t>
  </si>
  <si>
    <t>Saicharan</t>
  </si>
  <si>
    <t>Manepalli</t>
  </si>
  <si>
    <t xml:space="preserve">Jhulia </t>
  </si>
  <si>
    <t xml:space="preserve">Galicia </t>
  </si>
  <si>
    <t>CPK</t>
  </si>
  <si>
    <t xml:space="preserve">Olivia </t>
  </si>
  <si>
    <t>Maschio</t>
  </si>
  <si>
    <t xml:space="preserve">Kateryna </t>
  </si>
  <si>
    <t>Miroshnichenko</t>
  </si>
  <si>
    <t xml:space="preserve">Sreeja </t>
  </si>
  <si>
    <t>Vadlapudi</t>
  </si>
  <si>
    <t xml:space="preserve">Olga </t>
  </si>
  <si>
    <t xml:space="preserve">Quilumba </t>
  </si>
  <si>
    <t xml:space="preserve">Leaver </t>
  </si>
  <si>
    <t>SX173362C</t>
  </si>
  <si>
    <t>60-30-06</t>
  </si>
  <si>
    <t xml:space="preserve">Please check H. rate </t>
  </si>
  <si>
    <t>22nd April  to 26th of May</t>
  </si>
  <si>
    <t>Kitty</t>
  </si>
  <si>
    <t>Wing</t>
  </si>
  <si>
    <t xml:space="preserve">Plus 60.05 hours -- &gt; already paid in advance last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</si>
</sst>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  <font>
      <b/>
      <sz val="1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0" fontId="9" fillId="3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67" fontId="0" fillId="2" borderId="0" xfId="0" applyNumberFormat="1" applyFill="1"/>
    <xf numFmtId="165" fontId="18" fillId="2" borderId="0" xfId="78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165" fontId="14" fillId="5" borderId="0" xfId="0" applyNumberFormat="1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7</xdr:row>
      <xdr:rowOff>136800</xdr:rowOff>
    </xdr:from>
    <xdr:to>
      <xdr:col>3</xdr:col>
      <xdr:colOff>388980</xdr:colOff>
      <xdr:row>7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K13" sqref="K13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65"/>
      <c r="C6" s="66" t="s">
        <v>7</v>
      </c>
    </row>
    <row r="7" spans="1:6" ht="17" thickTop="1" x14ac:dyDescent="0.2">
      <c r="B7" s="5" t="s">
        <v>101</v>
      </c>
      <c r="C7" s="10">
        <f>+'Timesheet '!K37</f>
        <v>54417.712899999999</v>
      </c>
    </row>
    <row r="8" spans="1:6" x14ac:dyDescent="0.2">
      <c r="B8" s="5" t="s">
        <v>48</v>
      </c>
      <c r="C8" s="10">
        <f>+'Timesheet '!I37+'Timesheet '!H37</f>
        <v>1082.7750000000001</v>
      </c>
    </row>
    <row r="9" spans="1:6" x14ac:dyDescent="0.2">
      <c r="B9" s="5" t="s">
        <v>100</v>
      </c>
      <c r="C9" s="10">
        <f>'Holiday notes '!G15</f>
        <v>3928</v>
      </c>
    </row>
    <row r="10" spans="1:6" ht="33" customHeight="1" thickBot="1" x14ac:dyDescent="0.25">
      <c r="B10" s="11" t="s">
        <v>8</v>
      </c>
      <c r="C10" s="17">
        <f>SUM(C7:C9)</f>
        <v>59428.4879</v>
      </c>
    </row>
    <row r="11" spans="1:6" ht="17" thickTop="1" x14ac:dyDescent="0.2">
      <c r="C11" s="104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37"/>
  <sheetViews>
    <sheetView tabSelected="1" topLeftCell="A6" zoomScale="110" zoomScaleNormal="110" workbookViewId="0">
      <selection activeCell="K24" sqref="K24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2.6640625" style="5" bestFit="1" customWidth="1"/>
    <col min="6" max="6" width="9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58" t="s">
        <v>94</v>
      </c>
      <c r="C2" s="19"/>
    </row>
    <row r="3" spans="2:12" x14ac:dyDescent="0.2">
      <c r="B3" s="59" t="s">
        <v>95</v>
      </c>
      <c r="C3" s="5" t="s">
        <v>120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60" t="s">
        <v>75</v>
      </c>
      <c r="C6" s="61" t="s">
        <v>91</v>
      </c>
      <c r="D6" s="61" t="s">
        <v>67</v>
      </c>
      <c r="E6" s="61" t="s">
        <v>66</v>
      </c>
      <c r="F6" s="61" t="s">
        <v>68</v>
      </c>
      <c r="G6" s="61" t="s">
        <v>71</v>
      </c>
      <c r="H6" s="61" t="s">
        <v>14</v>
      </c>
      <c r="I6" s="61" t="s">
        <v>72</v>
      </c>
      <c r="J6" s="61" t="s">
        <v>69</v>
      </c>
      <c r="K6" s="61" t="s">
        <v>70</v>
      </c>
      <c r="L6" s="62" t="s">
        <v>92</v>
      </c>
    </row>
    <row r="7" spans="2:12" ht="16" customHeight="1" x14ac:dyDescent="0.2">
      <c r="B7" s="108" t="s">
        <v>88</v>
      </c>
      <c r="C7" s="43"/>
      <c r="D7" s="37" t="s">
        <v>12</v>
      </c>
      <c r="E7" s="37" t="s">
        <v>73</v>
      </c>
      <c r="F7" s="45">
        <v>11.44</v>
      </c>
      <c r="G7" s="45">
        <v>4</v>
      </c>
      <c r="H7" s="45">
        <v>120</v>
      </c>
      <c r="I7" s="45"/>
      <c r="J7" s="44">
        <v>171.67</v>
      </c>
      <c r="K7" s="45">
        <f>+F7*J7+(G7*J7)+H7</f>
        <v>2770.5847999999996</v>
      </c>
      <c r="L7" s="46"/>
    </row>
    <row r="8" spans="2:12" x14ac:dyDescent="0.2">
      <c r="B8" s="109"/>
      <c r="C8" s="47"/>
      <c r="D8" s="38" t="s">
        <v>74</v>
      </c>
      <c r="E8" s="38" t="s">
        <v>76</v>
      </c>
      <c r="F8" s="49">
        <v>11.44</v>
      </c>
      <c r="G8" s="49">
        <v>2.5</v>
      </c>
      <c r="H8" s="49">
        <v>90</v>
      </c>
      <c r="I8" s="49"/>
      <c r="J8" s="48">
        <v>195.49</v>
      </c>
      <c r="K8" s="49">
        <f t="shared" ref="K8:K35" si="0">+F8*J8+(G8*J8)+H8</f>
        <v>2815.1306</v>
      </c>
      <c r="L8" s="50" t="s">
        <v>119</v>
      </c>
    </row>
    <row r="9" spans="2:12" x14ac:dyDescent="0.2">
      <c r="B9" s="109"/>
      <c r="C9" s="47"/>
      <c r="D9" s="39" t="s">
        <v>44</v>
      </c>
      <c r="E9" s="39" t="s">
        <v>45</v>
      </c>
      <c r="F9" s="52">
        <v>10</v>
      </c>
      <c r="G9" s="52">
        <v>1</v>
      </c>
      <c r="H9" s="52">
        <v>0</v>
      </c>
      <c r="I9" s="52"/>
      <c r="J9" s="51">
        <v>133.53</v>
      </c>
      <c r="K9" s="52">
        <f t="shared" si="0"/>
        <v>1468.83</v>
      </c>
      <c r="L9" s="53"/>
    </row>
    <row r="10" spans="2:12" x14ac:dyDescent="0.2">
      <c r="B10" s="109"/>
      <c r="C10" s="47"/>
      <c r="D10" s="38" t="s">
        <v>63</v>
      </c>
      <c r="E10" s="38" t="s">
        <v>64</v>
      </c>
      <c r="F10" s="49">
        <v>10.44</v>
      </c>
      <c r="G10" s="49">
        <v>0.5</v>
      </c>
      <c r="H10" s="49"/>
      <c r="I10" s="49"/>
      <c r="J10" s="48">
        <v>65.540000000000006</v>
      </c>
      <c r="K10" s="49">
        <f t="shared" si="0"/>
        <v>717.00760000000002</v>
      </c>
      <c r="L10" s="50"/>
    </row>
    <row r="11" spans="2:12" x14ac:dyDescent="0.2">
      <c r="B11" s="109"/>
      <c r="C11" s="47"/>
      <c r="D11" s="39" t="s">
        <v>60</v>
      </c>
      <c r="E11" s="39" t="s">
        <v>80</v>
      </c>
      <c r="F11" s="52">
        <v>11.5</v>
      </c>
      <c r="G11" s="52">
        <v>3.5</v>
      </c>
      <c r="H11" s="52">
        <v>70</v>
      </c>
      <c r="I11" s="52"/>
      <c r="J11" s="51">
        <v>202.56</v>
      </c>
      <c r="K11" s="52">
        <f t="shared" si="0"/>
        <v>3108.4</v>
      </c>
      <c r="L11" s="53"/>
    </row>
    <row r="12" spans="2:12" x14ac:dyDescent="0.2">
      <c r="B12" s="109"/>
      <c r="C12" s="47"/>
      <c r="D12" s="38" t="s">
        <v>49</v>
      </c>
      <c r="E12" s="38" t="s">
        <v>50</v>
      </c>
      <c r="F12" s="49">
        <v>11.42</v>
      </c>
      <c r="G12" s="49">
        <v>1</v>
      </c>
      <c r="H12" s="49">
        <v>50</v>
      </c>
      <c r="I12" s="49"/>
      <c r="J12" s="48">
        <v>136.02000000000001</v>
      </c>
      <c r="K12" s="49">
        <f t="shared" si="0"/>
        <v>1739.3684000000001</v>
      </c>
      <c r="L12" s="50"/>
    </row>
    <row r="13" spans="2:12" x14ac:dyDescent="0.2">
      <c r="B13" s="109"/>
      <c r="C13" s="47"/>
      <c r="D13" s="39" t="s">
        <v>43</v>
      </c>
      <c r="E13" s="39" t="s">
        <v>81</v>
      </c>
      <c r="F13" s="52">
        <v>11.44</v>
      </c>
      <c r="G13" s="52">
        <v>1</v>
      </c>
      <c r="H13" s="52">
        <v>50</v>
      </c>
      <c r="I13" s="52"/>
      <c r="J13" s="51">
        <v>155.38</v>
      </c>
      <c r="K13" s="52">
        <f t="shared" si="0"/>
        <v>1982.9272000000001</v>
      </c>
      <c r="L13" s="53"/>
    </row>
    <row r="14" spans="2:12" x14ac:dyDescent="0.2">
      <c r="B14" s="109"/>
      <c r="C14" s="47"/>
      <c r="D14" s="38" t="s">
        <v>97</v>
      </c>
      <c r="E14" s="38" t="s">
        <v>98</v>
      </c>
      <c r="F14" s="49">
        <v>11.42</v>
      </c>
      <c r="G14" s="49">
        <v>0.6</v>
      </c>
      <c r="H14" s="49"/>
      <c r="I14" s="49"/>
      <c r="J14" s="48">
        <v>48.67</v>
      </c>
      <c r="K14" s="49">
        <f t="shared" si="0"/>
        <v>585.01340000000005</v>
      </c>
      <c r="L14" s="50"/>
    </row>
    <row r="15" spans="2:12" x14ac:dyDescent="0.2">
      <c r="B15" s="109"/>
      <c r="C15" s="47"/>
      <c r="D15" s="39" t="s">
        <v>105</v>
      </c>
      <c r="E15" s="39" t="s">
        <v>106</v>
      </c>
      <c r="F15" s="52">
        <v>9.5</v>
      </c>
      <c r="G15" s="52">
        <v>0.5</v>
      </c>
      <c r="H15" s="52"/>
      <c r="I15" s="52"/>
      <c r="J15" s="51">
        <v>55.06</v>
      </c>
      <c r="K15" s="52">
        <f t="shared" si="0"/>
        <v>550.6</v>
      </c>
      <c r="L15" s="53"/>
    </row>
    <row r="16" spans="2:12" ht="15" customHeight="1" x14ac:dyDescent="0.2">
      <c r="B16" s="110"/>
      <c r="C16" s="47"/>
      <c r="D16" s="38" t="s">
        <v>108</v>
      </c>
      <c r="E16" s="38" t="s">
        <v>109</v>
      </c>
      <c r="F16" s="49">
        <v>11.44</v>
      </c>
      <c r="G16" s="49">
        <v>0.5</v>
      </c>
      <c r="H16" s="49"/>
      <c r="I16" s="49"/>
      <c r="J16" s="48">
        <v>120.18</v>
      </c>
      <c r="K16" s="49">
        <f t="shared" si="0"/>
        <v>1434.9492</v>
      </c>
      <c r="L16" s="50"/>
    </row>
    <row r="17" spans="2:12" ht="15" customHeight="1" x14ac:dyDescent="0.2">
      <c r="B17" s="110"/>
      <c r="C17" s="47"/>
      <c r="D17" s="39" t="s">
        <v>110</v>
      </c>
      <c r="E17" s="39" t="s">
        <v>111</v>
      </c>
      <c r="F17" s="52">
        <v>9.5</v>
      </c>
      <c r="G17" s="52">
        <v>1</v>
      </c>
      <c r="H17" s="52"/>
      <c r="I17" s="52"/>
      <c r="J17" s="51">
        <v>108.66</v>
      </c>
      <c r="K17" s="52">
        <f t="shared" si="0"/>
        <v>1140.93</v>
      </c>
      <c r="L17" s="53"/>
    </row>
    <row r="18" spans="2:12" ht="15" thickBot="1" x14ac:dyDescent="0.25">
      <c r="B18" s="110"/>
      <c r="C18" s="47"/>
      <c r="D18" s="38" t="s">
        <v>96</v>
      </c>
      <c r="E18" s="38" t="s">
        <v>99</v>
      </c>
      <c r="F18" s="49">
        <v>9.5</v>
      </c>
      <c r="G18" s="49">
        <v>0.5</v>
      </c>
      <c r="H18" s="49"/>
      <c r="I18" s="49"/>
      <c r="J18" s="48">
        <v>58.63</v>
      </c>
      <c r="K18" s="49">
        <f t="shared" si="0"/>
        <v>586.30000000000007</v>
      </c>
      <c r="L18" s="50"/>
    </row>
    <row r="19" spans="2:12" x14ac:dyDescent="0.2">
      <c r="B19" s="108" t="s">
        <v>82</v>
      </c>
      <c r="C19" s="29"/>
      <c r="D19" s="40" t="s">
        <v>41</v>
      </c>
      <c r="E19" s="41" t="s">
        <v>42</v>
      </c>
      <c r="F19" s="55">
        <v>11.5</v>
      </c>
      <c r="G19" s="55">
        <v>2.25</v>
      </c>
      <c r="H19" s="55"/>
      <c r="I19" s="55"/>
      <c r="J19" s="54">
        <v>165.05</v>
      </c>
      <c r="K19" s="55">
        <f t="shared" si="0"/>
        <v>2269.4375</v>
      </c>
      <c r="L19" s="56"/>
    </row>
    <row r="20" spans="2:12" x14ac:dyDescent="0.2">
      <c r="B20" s="109"/>
      <c r="C20" s="33"/>
      <c r="D20" s="35" t="s">
        <v>62</v>
      </c>
      <c r="E20" s="39" t="s">
        <v>39</v>
      </c>
      <c r="F20" s="52">
        <v>11.7</v>
      </c>
      <c r="G20" s="52">
        <v>2</v>
      </c>
      <c r="H20" s="52">
        <v>70</v>
      </c>
      <c r="I20" s="52"/>
      <c r="J20" s="51">
        <v>229.09</v>
      </c>
      <c r="K20" s="52">
        <f t="shared" si="0"/>
        <v>3208.5329999999999</v>
      </c>
      <c r="L20" s="53"/>
    </row>
    <row r="21" spans="2:12" x14ac:dyDescent="0.2">
      <c r="B21" s="109"/>
      <c r="C21" s="33"/>
      <c r="D21" s="42" t="s">
        <v>61</v>
      </c>
      <c r="E21" s="38" t="s">
        <v>77</v>
      </c>
      <c r="F21" s="49">
        <v>11.44</v>
      </c>
      <c r="G21" s="49">
        <v>3</v>
      </c>
      <c r="H21" s="57">
        <v>60</v>
      </c>
      <c r="I21" s="49"/>
      <c r="J21" s="48">
        <v>80</v>
      </c>
      <c r="K21" s="49">
        <f t="shared" si="0"/>
        <v>1215.1999999999998</v>
      </c>
      <c r="L21" s="50"/>
    </row>
    <row r="22" spans="2:12" x14ac:dyDescent="0.2">
      <c r="B22" s="109"/>
      <c r="C22" s="33"/>
      <c r="D22" s="35" t="s">
        <v>54</v>
      </c>
      <c r="E22" s="39" t="s">
        <v>55</v>
      </c>
      <c r="F22" s="52">
        <v>11.5</v>
      </c>
      <c r="G22" s="52">
        <v>2</v>
      </c>
      <c r="H22" s="52">
        <v>100</v>
      </c>
      <c r="I22" s="52"/>
      <c r="J22" s="51">
        <v>254.64</v>
      </c>
      <c r="K22" s="52">
        <f t="shared" si="0"/>
        <v>3537.6399999999994</v>
      </c>
      <c r="L22" s="53"/>
    </row>
    <row r="23" spans="2:12" x14ac:dyDescent="0.2">
      <c r="B23" s="109"/>
      <c r="C23" s="33"/>
      <c r="D23" s="42" t="s">
        <v>46</v>
      </c>
      <c r="E23" s="38" t="s">
        <v>47</v>
      </c>
      <c r="F23" s="49">
        <v>11.44</v>
      </c>
      <c r="G23" s="49">
        <v>1.5</v>
      </c>
      <c r="H23" s="49"/>
      <c r="I23" s="49"/>
      <c r="J23" s="48">
        <v>93.67</v>
      </c>
      <c r="K23" s="49">
        <f t="shared" si="0"/>
        <v>1212.0898000000002</v>
      </c>
      <c r="L23" s="50"/>
    </row>
    <row r="24" spans="2:12" x14ac:dyDescent="0.2">
      <c r="B24" s="109"/>
      <c r="C24" s="33"/>
      <c r="D24" s="35" t="s">
        <v>83</v>
      </c>
      <c r="E24" s="39" t="s">
        <v>38</v>
      </c>
      <c r="F24" s="52">
        <v>11.44</v>
      </c>
      <c r="G24" s="52">
        <v>2</v>
      </c>
      <c r="H24" s="52"/>
      <c r="I24" s="52"/>
      <c r="J24" s="51">
        <v>98.97</v>
      </c>
      <c r="K24" s="52">
        <f t="shared" si="0"/>
        <v>1330.1568</v>
      </c>
      <c r="L24" s="53"/>
    </row>
    <row r="25" spans="2:12" x14ac:dyDescent="0.2">
      <c r="B25" s="109"/>
      <c r="C25" s="33"/>
      <c r="D25" s="42" t="s">
        <v>93</v>
      </c>
      <c r="E25" s="38" t="s">
        <v>77</v>
      </c>
      <c r="F25" s="49">
        <v>11.5</v>
      </c>
      <c r="G25" s="57">
        <v>1.5</v>
      </c>
      <c r="H25" s="49"/>
      <c r="I25" s="49"/>
      <c r="J25" s="48">
        <v>164.9</v>
      </c>
      <c r="K25" s="49">
        <f t="shared" si="0"/>
        <v>2143.7000000000003</v>
      </c>
      <c r="L25" s="50" t="s">
        <v>123</v>
      </c>
    </row>
    <row r="26" spans="2:12" x14ac:dyDescent="0.2">
      <c r="B26" s="109"/>
      <c r="C26" s="33"/>
      <c r="D26" s="35" t="s">
        <v>84</v>
      </c>
      <c r="E26" s="39" t="s">
        <v>40</v>
      </c>
      <c r="F26" s="52">
        <v>13</v>
      </c>
      <c r="G26" s="52"/>
      <c r="H26" s="52">
        <v>80</v>
      </c>
      <c r="I26" s="52"/>
      <c r="J26" s="51">
        <v>162.59</v>
      </c>
      <c r="K26" s="52">
        <f t="shared" si="0"/>
        <v>2193.67</v>
      </c>
      <c r="L26" s="53"/>
    </row>
    <row r="27" spans="2:12" x14ac:dyDescent="0.2">
      <c r="B27" s="109"/>
      <c r="C27" s="33"/>
      <c r="D27" s="42" t="s">
        <v>78</v>
      </c>
      <c r="E27" s="38" t="s">
        <v>79</v>
      </c>
      <c r="F27" s="49">
        <v>10</v>
      </c>
      <c r="G27" s="49">
        <v>0.5</v>
      </c>
      <c r="H27" s="49"/>
      <c r="I27" s="49"/>
      <c r="J27" s="48">
        <v>62.81</v>
      </c>
      <c r="K27" s="49">
        <f t="shared" si="0"/>
        <v>659.505</v>
      </c>
      <c r="L27" s="50"/>
    </row>
    <row r="28" spans="2:12" x14ac:dyDescent="0.2">
      <c r="B28" s="109"/>
      <c r="C28" s="33"/>
      <c r="D28" s="35" t="s">
        <v>58</v>
      </c>
      <c r="E28" s="39" t="s">
        <v>59</v>
      </c>
      <c r="F28" s="52">
        <v>11.44</v>
      </c>
      <c r="G28" s="52">
        <v>1</v>
      </c>
      <c r="H28" s="52"/>
      <c r="I28" s="52"/>
      <c r="J28" s="51">
        <v>105.1</v>
      </c>
      <c r="K28" s="52">
        <f t="shared" si="0"/>
        <v>1307.4439999999997</v>
      </c>
      <c r="L28" s="53"/>
    </row>
    <row r="29" spans="2:12" x14ac:dyDescent="0.2">
      <c r="B29" s="109"/>
      <c r="C29" s="33"/>
      <c r="D29" s="42" t="s">
        <v>85</v>
      </c>
      <c r="E29" s="38" t="s">
        <v>86</v>
      </c>
      <c r="F29" s="49">
        <v>11.44</v>
      </c>
      <c r="G29" s="49">
        <v>0.5</v>
      </c>
      <c r="H29" s="115"/>
      <c r="I29" s="49"/>
      <c r="J29" s="48">
        <v>95.67</v>
      </c>
      <c r="K29" s="49">
        <f t="shared" si="0"/>
        <v>1142.2998</v>
      </c>
      <c r="L29" s="50"/>
    </row>
    <row r="30" spans="2:12" x14ac:dyDescent="0.2">
      <c r="B30" s="109"/>
      <c r="C30" s="33"/>
      <c r="D30" s="35" t="s">
        <v>112</v>
      </c>
      <c r="E30" s="39" t="s">
        <v>113</v>
      </c>
      <c r="F30" s="52">
        <v>11.5</v>
      </c>
      <c r="G30" s="52"/>
      <c r="H30" s="52"/>
      <c r="I30" s="52">
        <v>100</v>
      </c>
      <c r="J30" s="51">
        <v>291.05</v>
      </c>
      <c r="K30" s="52">
        <f>+J30*F30</f>
        <v>3347.0750000000003</v>
      </c>
      <c r="L30" s="53"/>
    </row>
    <row r="31" spans="2:12" x14ac:dyDescent="0.2">
      <c r="B31" s="110"/>
      <c r="C31" s="33"/>
      <c r="D31" s="42" t="s">
        <v>114</v>
      </c>
      <c r="E31" s="38" t="s">
        <v>115</v>
      </c>
      <c r="F31" s="49">
        <v>11.44</v>
      </c>
      <c r="G31" s="49">
        <v>1.5</v>
      </c>
      <c r="H31" s="49"/>
      <c r="I31" s="49"/>
      <c r="J31" s="48">
        <v>63.6</v>
      </c>
      <c r="K31" s="49">
        <f>+J31*F31</f>
        <v>727.58399999999995</v>
      </c>
      <c r="L31" s="50"/>
    </row>
    <row r="32" spans="2:12" ht="15" thickBot="1" x14ac:dyDescent="0.25">
      <c r="B32" s="110"/>
      <c r="C32" s="33"/>
      <c r="D32" s="35" t="s">
        <v>103</v>
      </c>
      <c r="E32" s="39" t="s">
        <v>104</v>
      </c>
      <c r="F32" s="52">
        <v>11.5</v>
      </c>
      <c r="G32" s="52">
        <v>2</v>
      </c>
      <c r="H32" s="52">
        <v>100</v>
      </c>
      <c r="I32" s="52"/>
      <c r="J32" s="51">
        <v>247.36</v>
      </c>
      <c r="K32" s="52">
        <f>+F32*J32+(G32*J32)+H32</f>
        <v>3439.3600000000006</v>
      </c>
      <c r="L32" s="53"/>
    </row>
    <row r="33" spans="2:12" x14ac:dyDescent="0.2">
      <c r="B33" s="108" t="s">
        <v>107</v>
      </c>
      <c r="C33" s="29" t="s">
        <v>116</v>
      </c>
      <c r="D33" s="40" t="s">
        <v>65</v>
      </c>
      <c r="E33" s="41" t="s">
        <v>11</v>
      </c>
      <c r="F33" s="55">
        <v>11.44</v>
      </c>
      <c r="G33" s="55"/>
      <c r="H33" s="55"/>
      <c r="I33" s="55">
        <f>+'Dumpling Bonus '!J9</f>
        <v>32.774999999999999</v>
      </c>
      <c r="J33" s="54">
        <f>+'Dumpling Bonus '!G9</f>
        <v>32.54</v>
      </c>
      <c r="K33" s="55">
        <f t="shared" si="0"/>
        <v>372.25759999999997</v>
      </c>
      <c r="L33" s="56"/>
    </row>
    <row r="34" spans="2:12" x14ac:dyDescent="0.2">
      <c r="B34" s="109"/>
      <c r="C34" s="33"/>
      <c r="D34" s="35" t="s">
        <v>29</v>
      </c>
      <c r="E34" s="39" t="s">
        <v>87</v>
      </c>
      <c r="F34" s="52">
        <v>11.44</v>
      </c>
      <c r="G34" s="52"/>
      <c r="H34" s="52"/>
      <c r="I34" s="52">
        <v>80</v>
      </c>
      <c r="J34" s="51">
        <v>258.06</v>
      </c>
      <c r="K34" s="52">
        <f>+F34*J34+(G34*J34)+H34+I34</f>
        <v>3032.2064</v>
      </c>
      <c r="L34" s="53"/>
    </row>
    <row r="35" spans="2:12" x14ac:dyDescent="0.2">
      <c r="B35" s="109"/>
      <c r="C35" s="33"/>
      <c r="D35" s="42" t="s">
        <v>31</v>
      </c>
      <c r="E35" s="38" t="s">
        <v>32</v>
      </c>
      <c r="F35" s="49">
        <v>11.44</v>
      </c>
      <c r="G35" s="49"/>
      <c r="H35" s="49"/>
      <c r="I35" s="49">
        <v>80</v>
      </c>
      <c r="J35" s="48">
        <v>203.62</v>
      </c>
      <c r="K35" s="49">
        <f t="shared" si="0"/>
        <v>2329.4128000000001</v>
      </c>
      <c r="L35" s="50"/>
    </row>
    <row r="36" spans="2:12" ht="15" thickBot="1" x14ac:dyDescent="0.25">
      <c r="B36" s="111"/>
      <c r="C36" s="34"/>
      <c r="D36" s="35" t="s">
        <v>15</v>
      </c>
      <c r="E36" s="39" t="s">
        <v>15</v>
      </c>
      <c r="F36" s="52">
        <v>11.5</v>
      </c>
      <c r="G36" s="52">
        <v>1.5</v>
      </c>
      <c r="H36" s="52"/>
      <c r="I36" s="52"/>
      <c r="J36" s="51">
        <f>187.7-30</f>
        <v>157.69999999999999</v>
      </c>
      <c r="K36" s="52">
        <f>+F36*J36+(G36*J36)+H36</f>
        <v>2050.1</v>
      </c>
      <c r="L36" s="53"/>
    </row>
    <row r="37" spans="2:12" ht="26" customHeight="1" thickBot="1" x14ac:dyDescent="0.25">
      <c r="B37" s="112" t="s">
        <v>89</v>
      </c>
      <c r="C37" s="113"/>
      <c r="D37" s="102"/>
      <c r="E37" s="63"/>
      <c r="F37" s="64">
        <f>+AVERAGE(F7:F36)</f>
        <v>11.189999999999998</v>
      </c>
      <c r="G37" s="63"/>
      <c r="H37" s="64">
        <f>+SUM(H7:H36)</f>
        <v>790</v>
      </c>
      <c r="I37" s="63">
        <f>+SUM(I7:I36)</f>
        <v>292.77499999999998</v>
      </c>
      <c r="J37" s="63">
        <f>+SUM(J7:J36)</f>
        <v>4217.8100000000004</v>
      </c>
      <c r="K37" s="64">
        <f>+SUM(K7:K36)</f>
        <v>54417.712899999999</v>
      </c>
      <c r="L37" s="103"/>
    </row>
  </sheetData>
  <mergeCells count="4">
    <mergeCell ref="B7:B18"/>
    <mergeCell ref="B19:B32"/>
    <mergeCell ref="B33:B36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7"/>
  <sheetViews>
    <sheetView workbookViewId="0">
      <selection activeCell="F22" sqref="F22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8" x14ac:dyDescent="0.2">
      <c r="B3" s="114" t="s">
        <v>5</v>
      </c>
      <c r="C3" s="114"/>
      <c r="D3" s="114"/>
      <c r="E3" s="114"/>
      <c r="F3" s="114"/>
      <c r="G3" s="114"/>
      <c r="H3" s="114"/>
    </row>
    <row r="4" spans="2:8" x14ac:dyDescent="0.2">
      <c r="B4" s="114"/>
      <c r="C4" s="114"/>
      <c r="D4" s="114"/>
      <c r="E4" s="114"/>
      <c r="F4" s="114"/>
      <c r="G4" s="114"/>
      <c r="H4" s="114"/>
    </row>
    <row r="5" spans="2:8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36</v>
      </c>
    </row>
    <row r="6" spans="2:8" ht="14" customHeight="1" x14ac:dyDescent="0.2">
      <c r="B6" s="13"/>
      <c r="C6" s="6"/>
      <c r="D6" s="6"/>
      <c r="E6" s="14"/>
      <c r="F6" s="27"/>
      <c r="G6" s="15"/>
      <c r="H6" s="28"/>
    </row>
    <row r="7" spans="2:8" ht="14" customHeight="1" x14ac:dyDescent="0.2">
      <c r="B7" s="13" t="s">
        <v>29</v>
      </c>
      <c r="C7" s="6"/>
      <c r="D7" s="6"/>
      <c r="E7" s="14">
        <v>11</v>
      </c>
      <c r="F7" s="106">
        <f>8*6</f>
        <v>48</v>
      </c>
      <c r="G7" s="15">
        <f>+F7*E7</f>
        <v>528</v>
      </c>
      <c r="H7" s="28"/>
    </row>
    <row r="8" spans="2:8" ht="14" customHeight="1" x14ac:dyDescent="0.2">
      <c r="B8" s="13" t="s">
        <v>16</v>
      </c>
      <c r="C8" s="6"/>
      <c r="D8" s="6"/>
      <c r="E8" s="14">
        <v>10.5</v>
      </c>
      <c r="F8" s="106">
        <f>30*8</f>
        <v>240</v>
      </c>
      <c r="G8" s="15">
        <f>+F8*E8</f>
        <v>2520</v>
      </c>
      <c r="H8" s="28" t="s">
        <v>116</v>
      </c>
    </row>
    <row r="9" spans="2:8" ht="14" customHeight="1" x14ac:dyDescent="0.2">
      <c r="B9" s="13" t="s">
        <v>122</v>
      </c>
      <c r="C9" s="6"/>
      <c r="D9" s="6"/>
      <c r="E9" s="14">
        <v>11</v>
      </c>
      <c r="F9" s="106">
        <f>3*8</f>
        <v>24</v>
      </c>
      <c r="G9" s="15">
        <f>+F9*E9</f>
        <v>264</v>
      </c>
      <c r="H9" s="28"/>
    </row>
    <row r="10" spans="2:8" ht="14" customHeight="1" x14ac:dyDescent="0.2">
      <c r="B10" s="13" t="s">
        <v>84</v>
      </c>
      <c r="C10" s="6"/>
      <c r="D10" s="6"/>
      <c r="E10" s="14">
        <v>11</v>
      </c>
      <c r="F10" s="106">
        <f>7*8</f>
        <v>56</v>
      </c>
      <c r="G10" s="15">
        <f>+F10*E10</f>
        <v>616</v>
      </c>
      <c r="H10" s="28"/>
    </row>
    <row r="11" spans="2:8" ht="14" customHeight="1" x14ac:dyDescent="0.2">
      <c r="B11" s="13"/>
      <c r="C11" s="6"/>
      <c r="D11" s="6"/>
      <c r="E11" s="14"/>
      <c r="F11" s="106"/>
      <c r="G11" s="15"/>
      <c r="H11" s="28"/>
    </row>
    <row r="12" spans="2:8" ht="14" customHeight="1" x14ac:dyDescent="0.2">
      <c r="B12" s="13"/>
      <c r="C12" s="6"/>
      <c r="D12" s="6"/>
      <c r="E12" s="105"/>
      <c r="F12" s="107"/>
      <c r="G12" s="15"/>
      <c r="H12" s="28"/>
    </row>
    <row r="13" spans="2:8" ht="14" customHeight="1" x14ac:dyDescent="0.2">
      <c r="B13" s="13"/>
      <c r="C13" s="6"/>
      <c r="D13" s="6"/>
      <c r="E13" s="14"/>
      <c r="F13" s="106"/>
      <c r="G13" s="15"/>
      <c r="H13" s="28"/>
    </row>
    <row r="14" spans="2:8" x14ac:dyDescent="0.2">
      <c r="B14" s="13"/>
      <c r="C14" s="6"/>
      <c r="D14" s="6"/>
      <c r="E14" s="14"/>
      <c r="F14" s="106"/>
      <c r="G14" s="15"/>
      <c r="H14" s="28"/>
    </row>
    <row r="15" spans="2:8" ht="15" thickBot="1" x14ac:dyDescent="0.25">
      <c r="B15" s="3" t="s">
        <v>6</v>
      </c>
      <c r="C15" s="4"/>
      <c r="D15" s="4"/>
      <c r="E15" s="4"/>
      <c r="F15" s="4"/>
      <c r="G15" s="22">
        <f>+SUM(G6:G14)</f>
        <v>3928</v>
      </c>
      <c r="H15" s="67"/>
    </row>
    <row r="16" spans="2:8" ht="15" thickTop="1" x14ac:dyDescent="0.2">
      <c r="B16" s="8"/>
      <c r="C16" s="7"/>
      <c r="D16" s="7"/>
      <c r="E16" s="7"/>
      <c r="F16" s="7"/>
      <c r="G16" s="9"/>
      <c r="H16" s="68"/>
    </row>
    <row r="17" spans="2:10" x14ac:dyDescent="0.2">
      <c r="B17" s="114"/>
      <c r="C17" s="114"/>
      <c r="D17" s="114"/>
      <c r="E17" s="114"/>
      <c r="F17" s="114"/>
      <c r="G17" s="114"/>
      <c r="H17" s="114"/>
      <c r="I17" s="2"/>
      <c r="J17" s="68"/>
    </row>
  </sheetData>
  <mergeCells count="3">
    <mergeCell ref="B17:H17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7"/>
  <sheetViews>
    <sheetView zoomScale="120" zoomScaleNormal="120" workbookViewId="0">
      <selection activeCell="D4" sqref="D4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69"/>
      <c r="B1" s="19"/>
      <c r="C1" s="19"/>
      <c r="D1" s="19"/>
      <c r="E1" s="19"/>
      <c r="F1" s="19"/>
      <c r="G1" s="19"/>
      <c r="H1" s="19"/>
      <c r="I1" s="19"/>
      <c r="J1" s="19"/>
      <c r="K1" s="70"/>
    </row>
    <row r="2" spans="1:11" ht="32" customHeight="1" x14ac:dyDescent="0.2">
      <c r="A2" s="69"/>
      <c r="B2" s="99" t="s">
        <v>90</v>
      </c>
      <c r="C2" s="99" t="s">
        <v>34</v>
      </c>
      <c r="D2" s="99" t="s">
        <v>51</v>
      </c>
      <c r="E2" s="99" t="s">
        <v>9</v>
      </c>
      <c r="F2" s="99" t="s">
        <v>10</v>
      </c>
      <c r="G2" s="99" t="s">
        <v>37</v>
      </c>
      <c r="H2" s="99" t="s">
        <v>13</v>
      </c>
      <c r="I2" s="99" t="s">
        <v>57</v>
      </c>
      <c r="J2" s="99" t="s">
        <v>33</v>
      </c>
      <c r="K2" s="58"/>
    </row>
    <row r="3" spans="1:11" ht="13" customHeight="1" x14ac:dyDescent="0.2">
      <c r="A3" s="71"/>
      <c r="B3" s="21"/>
      <c r="C3" s="72"/>
      <c r="D3" s="73"/>
      <c r="E3" s="74"/>
      <c r="F3" s="75"/>
      <c r="G3" s="76"/>
      <c r="H3" s="18"/>
      <c r="I3" s="18"/>
      <c r="J3" s="18"/>
      <c r="K3" s="77"/>
    </row>
    <row r="4" spans="1:11" x14ac:dyDescent="0.2">
      <c r="A4" s="71"/>
      <c r="B4" s="78" t="s">
        <v>114</v>
      </c>
      <c r="C4" s="79" t="s">
        <v>117</v>
      </c>
      <c r="D4" s="80">
        <v>30116902</v>
      </c>
      <c r="E4" s="81" t="s">
        <v>118</v>
      </c>
      <c r="F4" s="82"/>
      <c r="G4" s="83"/>
      <c r="H4" s="84"/>
      <c r="I4" s="84"/>
      <c r="J4" s="84"/>
      <c r="K4" s="77"/>
    </row>
    <row r="5" spans="1:11" x14ac:dyDescent="0.2">
      <c r="A5" s="71"/>
      <c r="B5" s="21"/>
      <c r="C5" s="72"/>
      <c r="D5" s="85"/>
      <c r="E5" s="86"/>
      <c r="F5" s="75"/>
      <c r="G5" s="76"/>
      <c r="H5" s="18"/>
      <c r="I5" s="18"/>
      <c r="J5" s="18"/>
      <c r="K5" s="77"/>
    </row>
    <row r="6" spans="1:11" x14ac:dyDescent="0.2">
      <c r="A6" s="71"/>
      <c r="B6" s="78"/>
      <c r="C6" s="87"/>
      <c r="D6" s="88"/>
      <c r="E6" s="81"/>
      <c r="F6" s="82"/>
      <c r="G6" s="83"/>
      <c r="H6" s="84"/>
      <c r="I6" s="84"/>
      <c r="J6" s="84"/>
      <c r="K6" s="77"/>
    </row>
    <row r="7" spans="1:11" x14ac:dyDescent="0.2">
      <c r="A7" s="71"/>
      <c r="B7" s="21"/>
      <c r="D7" s="85"/>
      <c r="E7" s="89"/>
      <c r="F7" s="75"/>
      <c r="G7" s="76"/>
      <c r="H7" s="18"/>
      <c r="I7" s="18"/>
      <c r="J7" s="18"/>
      <c r="K7" s="77"/>
    </row>
    <row r="8" spans="1:11" x14ac:dyDescent="0.2">
      <c r="A8" s="69"/>
      <c r="B8" s="78"/>
      <c r="C8" s="87"/>
      <c r="D8" s="88"/>
      <c r="E8" s="81"/>
      <c r="F8" s="82"/>
      <c r="G8" s="83"/>
      <c r="H8" s="84"/>
      <c r="I8" s="84"/>
      <c r="J8" s="84"/>
      <c r="K8" s="77"/>
    </row>
    <row r="9" spans="1:11" x14ac:dyDescent="0.2">
      <c r="A9" s="19"/>
      <c r="B9" s="21"/>
      <c r="C9" s="72"/>
      <c r="D9" s="73"/>
      <c r="E9" s="74"/>
      <c r="F9" s="75"/>
      <c r="G9" s="76"/>
      <c r="H9" s="18"/>
      <c r="I9" s="90"/>
      <c r="J9" s="18"/>
      <c r="K9" s="77"/>
    </row>
    <row r="10" spans="1:11" x14ac:dyDescent="0.2">
      <c r="A10" s="69"/>
      <c r="B10" s="78"/>
      <c r="C10" s="87"/>
      <c r="D10" s="79"/>
      <c r="E10" s="81"/>
      <c r="F10" s="82"/>
      <c r="G10" s="84"/>
      <c r="H10" s="84"/>
      <c r="I10" s="84"/>
      <c r="J10" s="84"/>
      <c r="K10" s="77"/>
    </row>
    <row r="11" spans="1:11" x14ac:dyDescent="0.2">
      <c r="A11" s="69"/>
      <c r="B11" s="21"/>
      <c r="C11" s="72"/>
      <c r="D11" s="91"/>
      <c r="E11" s="86"/>
      <c r="F11" s="75"/>
      <c r="G11" s="18"/>
      <c r="H11" s="18"/>
      <c r="I11" s="18"/>
      <c r="J11" s="18"/>
      <c r="K11" s="77"/>
    </row>
    <row r="12" spans="1:11" x14ac:dyDescent="0.2">
      <c r="A12" s="19"/>
      <c r="B12" s="78"/>
      <c r="C12" s="87"/>
      <c r="D12" s="79"/>
      <c r="E12" s="81"/>
      <c r="F12" s="92"/>
      <c r="G12" s="84"/>
      <c r="H12" s="84"/>
      <c r="I12" s="84"/>
      <c r="J12" s="84"/>
      <c r="K12" s="18"/>
    </row>
    <row r="13" spans="1:11" x14ac:dyDescent="0.2">
      <c r="A13" s="19"/>
      <c r="B13" s="21"/>
      <c r="C13" s="19"/>
      <c r="D13" s="93"/>
      <c r="E13" s="36"/>
      <c r="G13" s="19"/>
      <c r="H13" s="19"/>
      <c r="I13" s="19"/>
      <c r="J13" s="19"/>
      <c r="K13" s="19"/>
    </row>
    <row r="14" spans="1:11" x14ac:dyDescent="0.2">
      <c r="B14" s="94"/>
      <c r="C14" s="95"/>
      <c r="D14" s="96"/>
      <c r="E14" s="96"/>
      <c r="F14" s="95"/>
      <c r="G14" s="95"/>
      <c r="H14" s="95"/>
      <c r="I14" s="95"/>
      <c r="J14" s="95"/>
    </row>
    <row r="15" spans="1:11" x14ac:dyDescent="0.2">
      <c r="B15" s="97"/>
      <c r="D15" s="98"/>
      <c r="E15" s="89"/>
    </row>
    <row r="16" spans="1:11" x14ac:dyDescent="0.2">
      <c r="B16" s="94"/>
      <c r="C16" s="95"/>
      <c r="D16" s="96"/>
      <c r="E16" s="96"/>
      <c r="F16" s="95"/>
      <c r="G16" s="95"/>
      <c r="H16" s="95"/>
      <c r="I16" s="95"/>
      <c r="J16" s="95"/>
    </row>
    <row r="17" spans="2:5" x14ac:dyDescent="0.2">
      <c r="B17" s="97"/>
      <c r="D17" s="89"/>
      <c r="E17" s="89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2"/>
  <sheetViews>
    <sheetView workbookViewId="0">
      <selection activeCell="G10" sqref="G10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101"/>
      <c r="C6" s="101" t="s">
        <v>24</v>
      </c>
      <c r="D6" s="101" t="s">
        <v>17</v>
      </c>
      <c r="E6" s="101" t="s">
        <v>25</v>
      </c>
      <c r="F6" s="101" t="s">
        <v>28</v>
      </c>
      <c r="G6" s="101" t="s">
        <v>26</v>
      </c>
      <c r="H6" s="101"/>
      <c r="I6" s="101" t="s">
        <v>27</v>
      </c>
      <c r="J6" s="101" t="s">
        <v>20</v>
      </c>
      <c r="K6" s="101" t="s">
        <v>35</v>
      </c>
      <c r="L6" s="101" t="s">
        <v>30</v>
      </c>
    </row>
    <row r="7" spans="1:12" ht="15" thickTop="1" x14ac:dyDescent="0.2">
      <c r="B7" s="5" t="s">
        <v>15</v>
      </c>
      <c r="C7" s="5">
        <v>166.95</v>
      </c>
      <c r="D7" s="5">
        <f>+B16*B17</f>
        <v>3600</v>
      </c>
      <c r="E7" s="5">
        <v>14363</v>
      </c>
      <c r="F7" s="5">
        <f>E7-D7</f>
        <v>10763</v>
      </c>
      <c r="G7" s="5">
        <f>C7-B17</f>
        <v>126.94999999999999</v>
      </c>
      <c r="H7" s="5">
        <f>G7*$B$15</f>
        <v>9521.25</v>
      </c>
      <c r="I7" s="5">
        <f>F7-H7</f>
        <v>1241.75</v>
      </c>
      <c r="J7" s="23">
        <f>I7*$B$14</f>
        <v>62.087500000000006</v>
      </c>
      <c r="K7" s="20">
        <f>J7/G7</f>
        <v>0.48907050019692799</v>
      </c>
      <c r="L7" s="26">
        <f>C7-B17</f>
        <v>126.94999999999999</v>
      </c>
    </row>
    <row r="8" spans="1:12" x14ac:dyDescent="0.2">
      <c r="B8" s="5" t="s">
        <v>121</v>
      </c>
      <c r="C8" s="5">
        <v>258.06</v>
      </c>
      <c r="D8" s="5">
        <v>0</v>
      </c>
      <c r="E8" s="5">
        <v>17196</v>
      </c>
      <c r="F8" s="5">
        <f>E8-D8</f>
        <v>17196</v>
      </c>
      <c r="G8" s="5">
        <f>C8-B19</f>
        <v>258.06</v>
      </c>
      <c r="H8" s="5">
        <f t="shared" ref="H8:H9" si="0">G8*$B$15</f>
        <v>19354.5</v>
      </c>
      <c r="I8" s="5">
        <f t="shared" ref="I8:I9" si="1">F8-H8</f>
        <v>-2158.5</v>
      </c>
      <c r="J8" s="23">
        <f t="shared" ref="J8:J9" si="2">I8*$B$14</f>
        <v>-107.92500000000001</v>
      </c>
      <c r="K8" s="20">
        <f t="shared" ref="K8:K9" si="3">J8/G8</f>
        <v>-0.41821669379214138</v>
      </c>
      <c r="L8" s="26">
        <f t="shared" ref="L8:L9" si="4">C8-B18</f>
        <v>248.06</v>
      </c>
    </row>
    <row r="9" spans="1:12" ht="17" customHeight="1" x14ac:dyDescent="0.2">
      <c r="B9" s="5" t="s">
        <v>16</v>
      </c>
      <c r="C9" s="5">
        <v>42.54</v>
      </c>
      <c r="D9" s="5">
        <f>$B$16*B18</f>
        <v>900</v>
      </c>
      <c r="E9" s="5">
        <v>3996</v>
      </c>
      <c r="F9" s="5">
        <f t="shared" ref="F8:F9" si="5">E9-D9</f>
        <v>3096</v>
      </c>
      <c r="G9" s="5">
        <f>C9-B18</f>
        <v>32.54</v>
      </c>
      <c r="H9" s="5">
        <f t="shared" si="0"/>
        <v>2440.5</v>
      </c>
      <c r="I9" s="5">
        <f t="shared" si="1"/>
        <v>655.5</v>
      </c>
      <c r="J9" s="23">
        <f t="shared" si="2"/>
        <v>32.774999999999999</v>
      </c>
      <c r="K9" s="20">
        <f t="shared" si="3"/>
        <v>1.0072218807621389</v>
      </c>
      <c r="L9" s="26">
        <f t="shared" si="4"/>
        <v>42.54</v>
      </c>
    </row>
    <row r="10" spans="1:12" ht="17" customHeight="1" x14ac:dyDescent="0.2">
      <c r="E10" s="5" t="s">
        <v>53</v>
      </c>
      <c r="J10" s="23"/>
      <c r="K10" s="25"/>
      <c r="L10" s="26"/>
    </row>
    <row r="11" spans="1:12" ht="17" customHeight="1" x14ac:dyDescent="0.2">
      <c r="J11" s="23"/>
      <c r="K11" s="25"/>
      <c r="L11" s="26"/>
    </row>
    <row r="13" spans="1:12" x14ac:dyDescent="0.2">
      <c r="A13" s="100" t="s">
        <v>102</v>
      </c>
    </row>
    <row r="14" spans="1:12" x14ac:dyDescent="0.2">
      <c r="A14" s="5" t="s">
        <v>21</v>
      </c>
      <c r="B14" s="5">
        <v>0.05</v>
      </c>
    </row>
    <row r="15" spans="1:12" x14ac:dyDescent="0.2">
      <c r="A15" s="5" t="s">
        <v>22</v>
      </c>
      <c r="B15" s="5">
        <v>75</v>
      </c>
    </row>
    <row r="16" spans="1:12" x14ac:dyDescent="0.2">
      <c r="A16" s="5" t="s">
        <v>23</v>
      </c>
      <c r="B16" s="5">
        <v>90</v>
      </c>
    </row>
    <row r="17" spans="1:7" x14ac:dyDescent="0.2">
      <c r="A17" s="59" t="s">
        <v>19</v>
      </c>
      <c r="B17" s="5">
        <v>40</v>
      </c>
      <c r="C17" s="5" t="s">
        <v>52</v>
      </c>
    </row>
    <row r="18" spans="1:7" x14ac:dyDescent="0.2">
      <c r="A18" s="59" t="s">
        <v>18</v>
      </c>
      <c r="B18" s="5">
        <v>10</v>
      </c>
    </row>
    <row r="19" spans="1:7" x14ac:dyDescent="0.2">
      <c r="A19" s="59" t="s">
        <v>121</v>
      </c>
      <c r="B19" s="5">
        <v>0</v>
      </c>
    </row>
    <row r="20" spans="1:7" x14ac:dyDescent="0.2">
      <c r="A20" s="5" t="s">
        <v>31</v>
      </c>
      <c r="B20" s="5">
        <v>0</v>
      </c>
    </row>
    <row r="24" spans="1:7" x14ac:dyDescent="0.2">
      <c r="B24" s="5">
        <f>5*20</f>
        <v>100</v>
      </c>
    </row>
    <row r="25" spans="1:7" x14ac:dyDescent="0.2">
      <c r="E25" s="5">
        <v>116.54</v>
      </c>
    </row>
    <row r="26" spans="1:7" x14ac:dyDescent="0.2">
      <c r="E26" s="5">
        <f>+E25*75</f>
        <v>8740.5</v>
      </c>
    </row>
    <row r="27" spans="1:7" x14ac:dyDescent="0.2">
      <c r="E27" s="5">
        <v>11119</v>
      </c>
      <c r="F27" s="5">
        <f>(E27-E26)*0.05</f>
        <v>118.92500000000001</v>
      </c>
      <c r="G27" s="5">
        <f>F27-50</f>
        <v>68.925000000000011</v>
      </c>
    </row>
    <row r="28" spans="1:7" x14ac:dyDescent="0.2">
      <c r="F28" s="5">
        <f>+F2</f>
        <v>0</v>
      </c>
    </row>
    <row r="32" spans="1:7" x14ac:dyDescent="0.2">
      <c r="G32" s="5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2024-06-12T07:44:17Z</dcterms:modified>
</cp:coreProperties>
</file>