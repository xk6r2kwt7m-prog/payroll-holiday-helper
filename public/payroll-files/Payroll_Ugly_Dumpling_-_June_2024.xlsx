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F3977DA4-31A7-5C4B-AA22-7A8F54BC3105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2" l="1"/>
  <c r="F11" i="2"/>
  <c r="I33" i="9"/>
  <c r="J38" i="9"/>
  <c r="K33" i="9"/>
  <c r="K32" i="9"/>
  <c r="K21" i="9"/>
  <c r="K22" i="9"/>
  <c r="K23" i="9"/>
  <c r="K24" i="9"/>
  <c r="K25" i="9"/>
  <c r="K26" i="9"/>
  <c r="K27" i="9"/>
  <c r="K28" i="9"/>
  <c r="K29" i="9"/>
  <c r="K30" i="9"/>
  <c r="K31" i="9"/>
  <c r="K34" i="9"/>
  <c r="G10" i="2"/>
  <c r="F10" i="2"/>
  <c r="G9" i="2"/>
  <c r="F9" i="2"/>
  <c r="F8" i="2"/>
  <c r="K18" i="9" l="1"/>
  <c r="G8" i="2"/>
  <c r="G7" i="2"/>
  <c r="F7" i="2"/>
  <c r="G9" i="6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39" i="9" l="1"/>
  <c r="K17" i="9" l="1"/>
  <c r="K16" i="9"/>
  <c r="K7" i="9"/>
  <c r="K15" i="9"/>
  <c r="B4" i="3" l="1"/>
  <c r="K38" i="9"/>
  <c r="K19" i="9"/>
  <c r="H39" i="9"/>
  <c r="K35" i="9"/>
  <c r="K36" i="9"/>
  <c r="K8" i="9"/>
  <c r="K9" i="9"/>
  <c r="K10" i="9"/>
  <c r="K12" i="9"/>
  <c r="K13" i="9"/>
  <c r="K14" i="9"/>
  <c r="K20" i="9"/>
  <c r="K37" i="9"/>
  <c r="K11" i="9"/>
  <c r="D7" i="6"/>
  <c r="D9" i="6"/>
  <c r="K39" i="9" l="1"/>
  <c r="C7" i="3" s="1"/>
  <c r="J39" i="9"/>
  <c r="B24" i="6" l="1"/>
  <c r="F28" i="6" l="1"/>
  <c r="E26" i="6"/>
  <c r="F27" i="6" s="1"/>
  <c r="G27" i="6" s="1"/>
  <c r="G13" i="2" l="1"/>
  <c r="C9" i="3" s="1"/>
  <c r="L7" i="6" l="1"/>
  <c r="F7" i="6" l="1"/>
  <c r="G7" i="6" l="1"/>
  <c r="H7" i="6" l="1"/>
  <c r="I7" i="6" l="1"/>
  <c r="J7" i="6" s="1"/>
  <c r="I39" i="9" l="1"/>
  <c r="C8" i="3" s="1"/>
  <c r="C10" i="3" l="1"/>
  <c r="K7" i="6"/>
</calcChain>
</file>

<file path=xl/sharedStrings.xml><?xml version="1.0" encoding="utf-8"?>
<sst xmlns="http://schemas.openxmlformats.org/spreadsheetml/2006/main" count="154" uniqueCount="143">
  <si>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</si>
  <si>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</si>
  <si>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</si>
  <si>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</si>
  <si>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</si>
  <si>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</si>
  <si>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</si>
  <si>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</si>
  <si>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</si>
  <si>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</si>
  <si>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</si>
  <si>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</si>
  <si>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</si>
  <si>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</si>
  <si>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</si>
  <si>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</si>
  <si>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</si>
  <si>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</si>
  <si>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</si>
  <si>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</si>
  <si>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</si>
  <si>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</si>
  <si>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</si>
  <si>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</si>
  <si>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</si>
  <si>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</si>
  <si>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</si>
  <si>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</si>
  <si>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</si>
  <si>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</si>
  <si>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</si>
  <si>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</si>
  <si>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</si>
  <si>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</si>
  <si>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</si>
  <si>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</si>
  <si>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</si>
  <si>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</si>
  <si>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</si>
  <si>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</si>
  <si>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</si>
  <si>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</si>
  <si>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</si>
  <si>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</si>
  <si>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</si>
  <si>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</si>
  <si>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</si>
  <si>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</si>
  <si>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</si>
  <si>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</si>
  <si>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</si>
  <si>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</si>
  <si>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</si>
  <si>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</si>
  <si>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</si>
  <si>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</si>
  <si>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</si>
  <si>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</si>
  <si>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</si>
  <si>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</si>
  <si>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</si>
  <si>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</si>
  <si>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</si>
  <si>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</si>
  <si>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</si>
  <si>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</si>
  <si>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</si>
  <si>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</si>
  <si>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</si>
  <si>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</si>
  <si>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</si>
  <si>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</si>
  <si>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</si>
  <si>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</si>
  <si>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</si>
  <si>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</si>
  <si>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</si>
  <si>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Rios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</si>
  <si>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</si>
  <si>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</si>
  <si>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</si>
  <si>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</si>
  <si>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</si>
  <si>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</si>
  <si>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</si>
  <si>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</si>
  <si>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</si>
  <si>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</si>
  <si>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</si>
  <si>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</si>
  <si>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</si>
  <si>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</si>
  <si>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</si>
  <si>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</si>
  <si>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Zineb </t>
  </si>
  <si>
    <t>Zanouny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</si>
  <si>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</si>
  <si>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</si>
  <si>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</si>
  <si>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</si>
  <si>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</si>
  <si>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</si>
  <si>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</si>
  <si>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</si>
  <si>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</si>
  <si>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</si>
  <si>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</si>
  <si>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</si>
  <si>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</si>
  <si>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 xml:space="preserve">Sreeja </t>
  </si>
  <si>
    <t>Vadlapudi</t>
  </si>
  <si>
    <t xml:space="preserve">Olga </t>
  </si>
  <si>
    <t xml:space="preserve">Quilumba </t>
  </si>
  <si>
    <t>Kitty</t>
  </si>
  <si>
    <t xml:space="preserve">Fatima </t>
  </si>
  <si>
    <t xml:space="preserve">Ashraf </t>
  </si>
  <si>
    <t xml:space="preserve">Fatima Ashraf </t>
  </si>
  <si>
    <t>77-40-31</t>
  </si>
  <si>
    <t>Indian</t>
  </si>
  <si>
    <t xml:space="preserve">Resid. Permit </t>
  </si>
  <si>
    <t>RT6367092</t>
  </si>
  <si>
    <t>WJHSEG4GS</t>
  </si>
  <si>
    <t xml:space="preserve">Denissen Konrad Vincent Alexander </t>
  </si>
  <si>
    <t>SY379023D</t>
  </si>
  <si>
    <t>42015439</t>
  </si>
  <si>
    <t>WZXK4H4Y6</t>
  </si>
  <si>
    <t xml:space="preserve">Denissen </t>
  </si>
  <si>
    <t xml:space="preserve">Konrad V. Alexander </t>
  </si>
  <si>
    <t xml:space="preserve">Starter </t>
  </si>
  <si>
    <t>TH253827D</t>
  </si>
  <si>
    <t>Arun</t>
  </si>
  <si>
    <t xml:space="preserve">Thota </t>
  </si>
  <si>
    <t xml:space="preserve">starter </t>
  </si>
  <si>
    <t>TL794722C</t>
  </si>
  <si>
    <t>22214272</t>
  </si>
  <si>
    <t>04-00-04</t>
  </si>
  <si>
    <t>40-91-18</t>
  </si>
  <si>
    <t xml:space="preserve">Arun Kumar Thota </t>
  </si>
  <si>
    <t xml:space="preserve">Indian </t>
  </si>
  <si>
    <t xml:space="preserve">Neatherland </t>
  </si>
  <si>
    <t xml:space="preserve">Worked before with us </t>
  </si>
  <si>
    <t xml:space="preserve">Anny Matos </t>
  </si>
  <si>
    <t>27th of May to 23rd of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</si>
</sst>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  <font>
      <sz val="10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8" borderId="12" xfId="0" applyFont="1" applyFill="1" applyBorder="1" applyAlignment="1">
      <alignment horizontal="left" vertical="center"/>
    </xf>
    <xf numFmtId="0" fontId="9" fillId="8" borderId="0" xfId="0" applyFont="1" applyFill="1" applyBorder="1" applyAlignment="1">
      <alignment horizontal="left" vertical="center"/>
    </xf>
    <xf numFmtId="165" fontId="9" fillId="8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left" vertical="center"/>
    </xf>
    <xf numFmtId="165" fontId="18" fillId="5" borderId="0" xfId="0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K13" sqref="K13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4"/>
      <c r="C6" s="65" t="s">
        <v>7</v>
      </c>
    </row>
    <row r="7" spans="1:6" ht="17" thickTop="1" x14ac:dyDescent="0.2">
      <c r="B7" s="5" t="s">
        <v>98</v>
      </c>
      <c r="C7" s="10">
        <f>+'Timesheet '!K39</f>
        <v>44940.012900000002</v>
      </c>
    </row>
    <row r="8" spans="1:6" x14ac:dyDescent="0.2">
      <c r="B8" s="5" t="s">
        <v>46</v>
      </c>
      <c r="C8" s="10">
        <f>+'Timesheet '!I39+'Timesheet '!H39</f>
        <v>1181.96</v>
      </c>
    </row>
    <row r="9" spans="1:6" x14ac:dyDescent="0.2">
      <c r="B9" s="5" t="s">
        <v>97</v>
      </c>
      <c r="C9" s="10">
        <f>'Holiday notes '!G13</f>
        <v>3301.6</v>
      </c>
    </row>
    <row r="10" spans="1:6" ht="33" customHeight="1" thickBot="1" x14ac:dyDescent="0.25">
      <c r="B10" s="11" t="s">
        <v>8</v>
      </c>
      <c r="C10" s="17">
        <f>SUM(C7:C9)</f>
        <v>49423.572899999999</v>
      </c>
    </row>
    <row r="11" spans="1:6" ht="17" thickTop="1" x14ac:dyDescent="0.2">
      <c r="C11" s="103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39"/>
  <sheetViews>
    <sheetView tabSelected="1" zoomScale="110" zoomScaleNormal="110" workbookViewId="0">
      <selection activeCell="G6" sqref="G6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57" t="s">
        <v>91</v>
      </c>
      <c r="C2" s="19"/>
    </row>
    <row r="3" spans="2:12" x14ac:dyDescent="0.2">
      <c r="B3" s="58" t="s">
        <v>92</v>
      </c>
      <c r="C3" s="5" t="s">
        <v>142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59" t="s">
        <v>72</v>
      </c>
      <c r="C6" s="60" t="s">
        <v>88</v>
      </c>
      <c r="D6" s="60" t="s">
        <v>64</v>
      </c>
      <c r="E6" s="60" t="s">
        <v>63</v>
      </c>
      <c r="F6" s="60" t="s">
        <v>65</v>
      </c>
      <c r="G6" s="60" t="s">
        <v>68</v>
      </c>
      <c r="H6" s="60" t="s">
        <v>13</v>
      </c>
      <c r="I6" s="60" t="s">
        <v>69</v>
      </c>
      <c r="J6" s="60" t="s">
        <v>66</v>
      </c>
      <c r="K6" s="60" t="s">
        <v>67</v>
      </c>
      <c r="L6" s="61" t="s">
        <v>89</v>
      </c>
    </row>
    <row r="7" spans="2:12" ht="16" customHeight="1" x14ac:dyDescent="0.2">
      <c r="B7" s="107" t="s">
        <v>85</v>
      </c>
      <c r="C7" s="43"/>
      <c r="D7" s="37" t="s">
        <v>11</v>
      </c>
      <c r="E7" s="37" t="s">
        <v>70</v>
      </c>
      <c r="F7" s="44">
        <v>11.44</v>
      </c>
      <c r="G7" s="44">
        <v>4</v>
      </c>
      <c r="H7" s="44">
        <v>140</v>
      </c>
      <c r="I7" s="44"/>
      <c r="J7" s="44">
        <v>167.63</v>
      </c>
      <c r="K7" s="44">
        <f>+F7*J7+(G7*J7)+H7</f>
        <v>2728.2071999999998</v>
      </c>
      <c r="L7" s="45"/>
    </row>
    <row r="8" spans="2:12" x14ac:dyDescent="0.2">
      <c r="B8" s="108"/>
      <c r="C8" s="46"/>
      <c r="D8" s="38" t="s">
        <v>71</v>
      </c>
      <c r="E8" s="38" t="s">
        <v>73</v>
      </c>
      <c r="F8" s="48">
        <v>11.44</v>
      </c>
      <c r="G8" s="48">
        <v>2.5</v>
      </c>
      <c r="H8" s="48"/>
      <c r="I8" s="48"/>
      <c r="J8" s="48">
        <v>37.909999999999997</v>
      </c>
      <c r="K8" s="48">
        <f t="shared" ref="K8:K37" si="0">+F8*J8+(G8*J8)+H8</f>
        <v>528.46539999999993</v>
      </c>
      <c r="L8" s="49"/>
    </row>
    <row r="9" spans="2:12" x14ac:dyDescent="0.2">
      <c r="B9" s="108"/>
      <c r="C9" s="46"/>
      <c r="D9" s="39" t="s">
        <v>42</v>
      </c>
      <c r="E9" s="39" t="s">
        <v>43</v>
      </c>
      <c r="F9" s="51">
        <v>10</v>
      </c>
      <c r="G9" s="51">
        <v>1</v>
      </c>
      <c r="H9" s="51">
        <v>50</v>
      </c>
      <c r="I9" s="51"/>
      <c r="J9" s="51">
        <v>136.88999999999999</v>
      </c>
      <c r="K9" s="51">
        <f t="shared" si="0"/>
        <v>1555.79</v>
      </c>
      <c r="L9" s="52"/>
    </row>
    <row r="10" spans="2:12" x14ac:dyDescent="0.2">
      <c r="B10" s="108"/>
      <c r="C10" s="46"/>
      <c r="D10" s="38" t="s">
        <v>61</v>
      </c>
      <c r="E10" s="38" t="s">
        <v>62</v>
      </c>
      <c r="F10" s="48">
        <v>10.44</v>
      </c>
      <c r="G10" s="48">
        <v>0.5</v>
      </c>
      <c r="H10" s="48"/>
      <c r="I10" s="48"/>
      <c r="J10" s="48">
        <v>99.77</v>
      </c>
      <c r="K10" s="48">
        <f t="shared" si="0"/>
        <v>1091.4838</v>
      </c>
      <c r="L10" s="49"/>
    </row>
    <row r="11" spans="2:12" x14ac:dyDescent="0.2">
      <c r="B11" s="108"/>
      <c r="C11" s="46"/>
      <c r="D11" s="39" t="s">
        <v>58</v>
      </c>
      <c r="E11" s="39" t="s">
        <v>77</v>
      </c>
      <c r="F11" s="51">
        <v>11.5</v>
      </c>
      <c r="G11" s="51">
        <v>3.5</v>
      </c>
      <c r="H11" s="51">
        <v>100</v>
      </c>
      <c r="I11" s="51"/>
      <c r="J11" s="51">
        <v>189.28</v>
      </c>
      <c r="K11" s="51">
        <f t="shared" si="0"/>
        <v>2939.2</v>
      </c>
      <c r="L11" s="52"/>
    </row>
    <row r="12" spans="2:12" x14ac:dyDescent="0.2">
      <c r="B12" s="108"/>
      <c r="C12" s="46"/>
      <c r="D12" s="38" t="s">
        <v>47</v>
      </c>
      <c r="E12" s="38" t="s">
        <v>48</v>
      </c>
      <c r="F12" s="48">
        <v>11.42</v>
      </c>
      <c r="G12" s="48">
        <v>1</v>
      </c>
      <c r="H12" s="48">
        <v>50</v>
      </c>
      <c r="I12" s="48"/>
      <c r="J12" s="48">
        <v>139.78</v>
      </c>
      <c r="K12" s="48">
        <f t="shared" si="0"/>
        <v>1786.0676000000001</v>
      </c>
      <c r="L12" s="49"/>
    </row>
    <row r="13" spans="2:12" x14ac:dyDescent="0.2">
      <c r="B13" s="108"/>
      <c r="C13" s="46"/>
      <c r="D13" s="39" t="s">
        <v>41</v>
      </c>
      <c r="E13" s="39" t="s">
        <v>78</v>
      </c>
      <c r="F13" s="51">
        <v>11.44</v>
      </c>
      <c r="G13" s="51">
        <v>1</v>
      </c>
      <c r="H13" s="51">
        <v>50</v>
      </c>
      <c r="I13" s="51"/>
      <c r="J13" s="51">
        <v>112.29</v>
      </c>
      <c r="K13" s="51">
        <f t="shared" si="0"/>
        <v>1446.8876</v>
      </c>
      <c r="L13" s="52"/>
    </row>
    <row r="14" spans="2:12" x14ac:dyDescent="0.2">
      <c r="B14" s="108"/>
      <c r="C14" s="46"/>
      <c r="D14" s="119" t="s">
        <v>94</v>
      </c>
      <c r="E14" s="119" t="s">
        <v>95</v>
      </c>
      <c r="F14" s="120">
        <v>11.42</v>
      </c>
      <c r="G14" s="120">
        <v>0.6</v>
      </c>
      <c r="H14" s="48"/>
      <c r="I14" s="48"/>
      <c r="J14" s="48">
        <v>0</v>
      </c>
      <c r="K14" s="48">
        <f t="shared" si="0"/>
        <v>0</v>
      </c>
      <c r="L14" s="49"/>
    </row>
    <row r="15" spans="2:12" x14ac:dyDescent="0.2">
      <c r="B15" s="108"/>
      <c r="C15" s="46"/>
      <c r="D15" s="39" t="s">
        <v>102</v>
      </c>
      <c r="E15" s="39" t="s">
        <v>103</v>
      </c>
      <c r="F15" s="51">
        <v>9.5</v>
      </c>
      <c r="G15" s="51">
        <v>0.5</v>
      </c>
      <c r="H15" s="51"/>
      <c r="I15" s="51"/>
      <c r="J15" s="51">
        <v>53.88</v>
      </c>
      <c r="K15" s="51">
        <f t="shared" si="0"/>
        <v>538.80000000000007</v>
      </c>
      <c r="L15" s="52"/>
    </row>
    <row r="16" spans="2:12" ht="15" customHeight="1" x14ac:dyDescent="0.2">
      <c r="B16" s="109"/>
      <c r="C16" s="46"/>
      <c r="D16" s="38" t="s">
        <v>105</v>
      </c>
      <c r="E16" s="38" t="s">
        <v>106</v>
      </c>
      <c r="F16" s="48">
        <v>11.44</v>
      </c>
      <c r="G16" s="48">
        <v>0.5</v>
      </c>
      <c r="H16" s="48"/>
      <c r="I16" s="48"/>
      <c r="J16" s="48">
        <v>121.33</v>
      </c>
      <c r="K16" s="48">
        <f t="shared" si="0"/>
        <v>1448.6801999999998</v>
      </c>
      <c r="L16" s="49"/>
    </row>
    <row r="17" spans="2:12" ht="15" customHeight="1" x14ac:dyDescent="0.2">
      <c r="B17" s="109"/>
      <c r="C17" s="46"/>
      <c r="D17" s="39" t="s">
        <v>107</v>
      </c>
      <c r="E17" s="39" t="s">
        <v>108</v>
      </c>
      <c r="F17" s="51">
        <v>9.5</v>
      </c>
      <c r="G17" s="51">
        <v>1</v>
      </c>
      <c r="H17" s="51"/>
      <c r="I17" s="51"/>
      <c r="J17" s="51">
        <v>66.760000000000005</v>
      </c>
      <c r="K17" s="51">
        <f t="shared" si="0"/>
        <v>700.98</v>
      </c>
      <c r="L17" s="52"/>
    </row>
    <row r="18" spans="2:12" ht="15" customHeight="1" x14ac:dyDescent="0.2">
      <c r="B18" s="109"/>
      <c r="C18" s="46" t="s">
        <v>128</v>
      </c>
      <c r="D18" s="38" t="s">
        <v>126</v>
      </c>
      <c r="E18" s="38" t="s">
        <v>127</v>
      </c>
      <c r="F18" s="48">
        <v>11.44</v>
      </c>
      <c r="G18" s="48">
        <v>1</v>
      </c>
      <c r="H18" s="48"/>
      <c r="I18" s="48"/>
      <c r="J18" s="48">
        <v>4</v>
      </c>
      <c r="K18" s="48">
        <f t="shared" si="0"/>
        <v>49.76</v>
      </c>
      <c r="L18" s="49"/>
    </row>
    <row r="19" spans="2:12" ht="15" thickBot="1" x14ac:dyDescent="0.25">
      <c r="B19" s="109"/>
      <c r="C19" s="46"/>
      <c r="D19" s="39" t="s">
        <v>93</v>
      </c>
      <c r="E19" s="39" t="s">
        <v>96</v>
      </c>
      <c r="F19" s="51">
        <v>9.5</v>
      </c>
      <c r="G19" s="51">
        <v>0.5</v>
      </c>
      <c r="H19" s="51"/>
      <c r="I19" s="51"/>
      <c r="J19" s="51">
        <v>46.08</v>
      </c>
      <c r="K19" s="51">
        <f t="shared" si="0"/>
        <v>460.8</v>
      </c>
      <c r="L19" s="52"/>
    </row>
    <row r="20" spans="2:12" x14ac:dyDescent="0.2">
      <c r="B20" s="107" t="s">
        <v>79</v>
      </c>
      <c r="C20" s="29"/>
      <c r="D20" s="40" t="s">
        <v>39</v>
      </c>
      <c r="E20" s="41" t="s">
        <v>40</v>
      </c>
      <c r="F20" s="54">
        <v>11.5</v>
      </c>
      <c r="G20" s="54">
        <v>2.25</v>
      </c>
      <c r="H20" s="54">
        <v>60</v>
      </c>
      <c r="I20" s="54"/>
      <c r="J20" s="54">
        <v>141.33000000000001</v>
      </c>
      <c r="K20" s="54">
        <f>+F20*J20+(G20*J20)+H20</f>
        <v>2003.2875000000001</v>
      </c>
      <c r="L20" s="55"/>
    </row>
    <row r="21" spans="2:12" x14ac:dyDescent="0.2">
      <c r="B21" s="108"/>
      <c r="C21" s="33"/>
      <c r="D21" s="35" t="s">
        <v>60</v>
      </c>
      <c r="E21" s="39" t="s">
        <v>37</v>
      </c>
      <c r="F21" s="51">
        <v>11.7</v>
      </c>
      <c r="G21" s="51">
        <v>2</v>
      </c>
      <c r="H21" s="51">
        <v>100</v>
      </c>
      <c r="I21" s="51"/>
      <c r="J21" s="51">
        <v>142.26</v>
      </c>
      <c r="K21" s="51">
        <f>+F21*J21+(G21*J21)+H21</f>
        <v>2048.9619999999995</v>
      </c>
      <c r="L21" s="52"/>
    </row>
    <row r="22" spans="2:12" x14ac:dyDescent="0.2">
      <c r="B22" s="108"/>
      <c r="C22" s="33"/>
      <c r="D22" s="42" t="s">
        <v>59</v>
      </c>
      <c r="E22" s="38" t="s">
        <v>74</v>
      </c>
      <c r="F22" s="48">
        <v>11.44</v>
      </c>
      <c r="G22" s="48">
        <v>3</v>
      </c>
      <c r="H22" s="56">
        <v>60</v>
      </c>
      <c r="I22" s="48"/>
      <c r="J22" s="48">
        <v>80</v>
      </c>
      <c r="K22" s="48">
        <f>+F22*J22+(G22*J22)+H22</f>
        <v>1215.1999999999998</v>
      </c>
      <c r="L22" s="49"/>
    </row>
    <row r="23" spans="2:12" x14ac:dyDescent="0.2">
      <c r="B23" s="108"/>
      <c r="C23" s="33"/>
      <c r="D23" s="35" t="s">
        <v>52</v>
      </c>
      <c r="E23" s="39" t="s">
        <v>53</v>
      </c>
      <c r="F23" s="51">
        <v>11.5</v>
      </c>
      <c r="G23" s="51">
        <v>2</v>
      </c>
      <c r="H23" s="51">
        <v>80</v>
      </c>
      <c r="I23" s="51"/>
      <c r="J23" s="51">
        <v>196.66</v>
      </c>
      <c r="K23" s="51">
        <f>+F23*J23+(G23*J23)+H23</f>
        <v>2734.9100000000003</v>
      </c>
      <c r="L23" s="52"/>
    </row>
    <row r="24" spans="2:12" x14ac:dyDescent="0.2">
      <c r="B24" s="108"/>
      <c r="C24" s="33"/>
      <c r="D24" s="42" t="s">
        <v>44</v>
      </c>
      <c r="E24" s="38" t="s">
        <v>45</v>
      </c>
      <c r="F24" s="48">
        <v>11.44</v>
      </c>
      <c r="G24" s="48">
        <v>1.5</v>
      </c>
      <c r="H24" s="48"/>
      <c r="I24" s="48"/>
      <c r="J24" s="48">
        <v>81.98</v>
      </c>
      <c r="K24" s="48">
        <f>+F24*J24+(G24*J24)+H24</f>
        <v>1060.8211999999999</v>
      </c>
      <c r="L24" s="49"/>
    </row>
    <row r="25" spans="2:12" x14ac:dyDescent="0.2">
      <c r="B25" s="108"/>
      <c r="C25" s="33"/>
      <c r="D25" s="35" t="s">
        <v>80</v>
      </c>
      <c r="E25" s="39" t="s">
        <v>36</v>
      </c>
      <c r="F25" s="51">
        <v>11.44</v>
      </c>
      <c r="G25" s="51">
        <v>2</v>
      </c>
      <c r="H25" s="51"/>
      <c r="I25" s="51"/>
      <c r="J25" s="51">
        <v>58.94</v>
      </c>
      <c r="K25" s="51">
        <f>+F25*J25+(G25*J25)+H25</f>
        <v>792.15359999999998</v>
      </c>
      <c r="L25" s="52"/>
    </row>
    <row r="26" spans="2:12" x14ac:dyDescent="0.2">
      <c r="B26" s="108"/>
      <c r="C26" s="33"/>
      <c r="D26" s="42" t="s">
        <v>90</v>
      </c>
      <c r="E26" s="38" t="s">
        <v>74</v>
      </c>
      <c r="F26" s="48">
        <v>11.5</v>
      </c>
      <c r="G26" s="56">
        <v>1.5</v>
      </c>
      <c r="H26" s="48"/>
      <c r="I26" s="48"/>
      <c r="J26" s="48">
        <v>155</v>
      </c>
      <c r="K26" s="48">
        <f>+F26*J26+(G26*J26)+H26</f>
        <v>2015</v>
      </c>
      <c r="L26" s="49"/>
    </row>
    <row r="27" spans="2:12" x14ac:dyDescent="0.2">
      <c r="B27" s="108"/>
      <c r="C27" s="33"/>
      <c r="D27" s="35" t="s">
        <v>81</v>
      </c>
      <c r="E27" s="39" t="s">
        <v>38</v>
      </c>
      <c r="F27" s="51">
        <v>13</v>
      </c>
      <c r="G27" s="51"/>
      <c r="H27" s="51"/>
      <c r="I27" s="51"/>
      <c r="J27" s="51">
        <v>0</v>
      </c>
      <c r="K27" s="51">
        <f>+F27*J27+(G27*J27)+H27</f>
        <v>0</v>
      </c>
      <c r="L27" s="52"/>
    </row>
    <row r="28" spans="2:12" x14ac:dyDescent="0.2">
      <c r="B28" s="108"/>
      <c r="C28" s="33"/>
      <c r="D28" s="42" t="s">
        <v>75</v>
      </c>
      <c r="E28" s="38" t="s">
        <v>76</v>
      </c>
      <c r="F28" s="48">
        <v>10</v>
      </c>
      <c r="G28" s="48">
        <v>0.5</v>
      </c>
      <c r="H28" s="48"/>
      <c r="I28" s="48"/>
      <c r="J28" s="48">
        <v>85.3</v>
      </c>
      <c r="K28" s="48">
        <f>+F28*J28+(G28*J28)+H28</f>
        <v>895.65</v>
      </c>
      <c r="L28" s="49"/>
    </row>
    <row r="29" spans="2:12" x14ac:dyDescent="0.2">
      <c r="B29" s="108"/>
      <c r="C29" s="33"/>
      <c r="D29" s="35" t="s">
        <v>56</v>
      </c>
      <c r="E29" s="39" t="s">
        <v>57</v>
      </c>
      <c r="F29" s="51">
        <v>11.44</v>
      </c>
      <c r="G29" s="51">
        <v>1</v>
      </c>
      <c r="H29" s="51"/>
      <c r="I29" s="51"/>
      <c r="J29" s="51">
        <v>80.849999999999994</v>
      </c>
      <c r="K29" s="51">
        <f>+F29*J29+(G29*J29)+H29</f>
        <v>1005.7739999999999</v>
      </c>
      <c r="L29" s="52"/>
    </row>
    <row r="30" spans="2:12" x14ac:dyDescent="0.2">
      <c r="B30" s="108"/>
      <c r="C30" s="33"/>
      <c r="D30" s="42" t="s">
        <v>82</v>
      </c>
      <c r="E30" s="38" t="s">
        <v>83</v>
      </c>
      <c r="F30" s="48">
        <v>11.44</v>
      </c>
      <c r="G30" s="48">
        <v>0.5</v>
      </c>
      <c r="H30" s="106"/>
      <c r="I30" s="48"/>
      <c r="J30" s="48">
        <v>71.98</v>
      </c>
      <c r="K30" s="48">
        <f>+F30*J30+(G30*J30)+H30</f>
        <v>859.44119999999998</v>
      </c>
      <c r="L30" s="49"/>
    </row>
    <row r="31" spans="2:12" x14ac:dyDescent="0.2">
      <c r="B31" s="108"/>
      <c r="C31" s="33"/>
      <c r="D31" s="35" t="s">
        <v>109</v>
      </c>
      <c r="E31" s="39" t="s">
        <v>110</v>
      </c>
      <c r="F31" s="51">
        <v>11.5</v>
      </c>
      <c r="G31" s="51">
        <v>0.5</v>
      </c>
      <c r="H31" s="51"/>
      <c r="I31" s="51">
        <v>100</v>
      </c>
      <c r="J31" s="50">
        <v>259.86</v>
      </c>
      <c r="K31" s="51">
        <f>+J31*F31</f>
        <v>2988.3900000000003</v>
      </c>
      <c r="L31" s="52"/>
    </row>
    <row r="32" spans="2:12" x14ac:dyDescent="0.2">
      <c r="B32" s="109"/>
      <c r="C32" s="33"/>
      <c r="D32" s="42" t="s">
        <v>111</v>
      </c>
      <c r="E32" s="38" t="s">
        <v>112</v>
      </c>
      <c r="F32" s="48">
        <v>11.44</v>
      </c>
      <c r="G32" s="48">
        <v>1.5</v>
      </c>
      <c r="H32" s="48"/>
      <c r="I32" s="48"/>
      <c r="J32" s="47">
        <v>109.69</v>
      </c>
      <c r="K32" s="48">
        <f>+J32*F32</f>
        <v>1254.8535999999999</v>
      </c>
      <c r="L32" s="49"/>
    </row>
    <row r="33" spans="2:12" x14ac:dyDescent="0.2">
      <c r="B33" s="109"/>
      <c r="C33" s="33" t="s">
        <v>132</v>
      </c>
      <c r="D33" s="35" t="s">
        <v>130</v>
      </c>
      <c r="E33" s="39" t="s">
        <v>131</v>
      </c>
      <c r="F33" s="51">
        <v>11.44</v>
      </c>
      <c r="G33" s="51">
        <v>1</v>
      </c>
      <c r="H33" s="51"/>
      <c r="I33" s="51">
        <f>9*12.44</f>
        <v>111.96</v>
      </c>
      <c r="J33" s="50">
        <v>80</v>
      </c>
      <c r="K33" s="51">
        <f>+J33*F33</f>
        <v>915.19999999999993</v>
      </c>
      <c r="L33" s="52"/>
    </row>
    <row r="34" spans="2:12" ht="15" thickBot="1" x14ac:dyDescent="0.25">
      <c r="B34" s="109"/>
      <c r="C34" s="33"/>
      <c r="D34" s="114" t="s">
        <v>100</v>
      </c>
      <c r="E34" s="115" t="s">
        <v>101</v>
      </c>
      <c r="F34" s="116">
        <v>11.5</v>
      </c>
      <c r="G34" s="116">
        <v>2</v>
      </c>
      <c r="H34" s="116">
        <v>120</v>
      </c>
      <c r="I34" s="116"/>
      <c r="J34" s="117">
        <v>194.71</v>
      </c>
      <c r="K34" s="116">
        <f>+F34*J34+(G34*J34)+H34</f>
        <v>2748.585</v>
      </c>
      <c r="L34" s="118"/>
    </row>
    <row r="35" spans="2:12" x14ac:dyDescent="0.2">
      <c r="B35" s="107" t="s">
        <v>104</v>
      </c>
      <c r="C35" s="29" t="s">
        <v>128</v>
      </c>
      <c r="D35" s="40" t="s">
        <v>114</v>
      </c>
      <c r="E35" s="41" t="s">
        <v>115</v>
      </c>
      <c r="F35" s="54">
        <v>11.44</v>
      </c>
      <c r="G35" s="54"/>
      <c r="H35" s="54"/>
      <c r="I35" s="54"/>
      <c r="J35" s="53">
        <v>35.700000000000003</v>
      </c>
      <c r="K35" s="54">
        <f t="shared" si="0"/>
        <v>408.40800000000002</v>
      </c>
      <c r="L35" s="55"/>
    </row>
    <row r="36" spans="2:12" x14ac:dyDescent="0.2">
      <c r="B36" s="108"/>
      <c r="C36" s="33"/>
      <c r="D36" s="35" t="s">
        <v>28</v>
      </c>
      <c r="E36" s="39" t="s">
        <v>84</v>
      </c>
      <c r="F36" s="51">
        <v>11.44</v>
      </c>
      <c r="G36" s="51"/>
      <c r="H36" s="51"/>
      <c r="I36" s="51">
        <v>80</v>
      </c>
      <c r="J36" s="50">
        <v>159.19999999999999</v>
      </c>
      <c r="K36" s="51">
        <f>+F36*J36+(G36*J36)+H36+I36</f>
        <v>1901.2479999999998</v>
      </c>
      <c r="L36" s="52"/>
    </row>
    <row r="37" spans="2:12" x14ac:dyDescent="0.2">
      <c r="B37" s="108"/>
      <c r="C37" s="33"/>
      <c r="D37" s="42" t="s">
        <v>30</v>
      </c>
      <c r="E37" s="38" t="s">
        <v>31</v>
      </c>
      <c r="F37" s="48">
        <v>11.44</v>
      </c>
      <c r="G37" s="48"/>
      <c r="H37" s="48"/>
      <c r="I37" s="48">
        <v>80</v>
      </c>
      <c r="J37" s="47">
        <v>238.05</v>
      </c>
      <c r="K37" s="48">
        <f t="shared" si="0"/>
        <v>2723.2919999999999</v>
      </c>
      <c r="L37" s="49"/>
    </row>
    <row r="38" spans="2:12" ht="15" thickBot="1" x14ac:dyDescent="0.25">
      <c r="B38" s="110"/>
      <c r="C38" s="34"/>
      <c r="D38" s="35" t="s">
        <v>14</v>
      </c>
      <c r="E38" s="39" t="s">
        <v>14</v>
      </c>
      <c r="F38" s="51">
        <v>12</v>
      </c>
      <c r="G38" s="51">
        <v>1.5</v>
      </c>
      <c r="H38" s="51"/>
      <c r="I38" s="51"/>
      <c r="J38" s="50">
        <f>195.09-40</f>
        <v>155.09</v>
      </c>
      <c r="K38" s="51">
        <f>+F38*J38+(G38*J38)+H38</f>
        <v>2093.7150000000001</v>
      </c>
      <c r="L38" s="52"/>
    </row>
    <row r="39" spans="2:12" ht="26" customHeight="1" thickBot="1" x14ac:dyDescent="0.25">
      <c r="B39" s="111" t="s">
        <v>86</v>
      </c>
      <c r="C39" s="112"/>
      <c r="D39" s="101"/>
      <c r="E39" s="62"/>
      <c r="F39" s="63">
        <f>+AVERAGE(F7:F38)</f>
        <v>11.22125</v>
      </c>
      <c r="G39" s="62"/>
      <c r="H39" s="63">
        <f>+SUM(H7:H38)</f>
        <v>810</v>
      </c>
      <c r="I39" s="62">
        <f>+SUM(I7:I38)</f>
        <v>371.96</v>
      </c>
      <c r="J39" s="62">
        <f>+SUM(J7:J38)</f>
        <v>3502.2</v>
      </c>
      <c r="K39" s="63">
        <f>+SUM(K7:K38)</f>
        <v>44940.012900000002</v>
      </c>
      <c r="L39" s="102"/>
    </row>
  </sheetData>
  <mergeCells count="4">
    <mergeCell ref="B7:B19"/>
    <mergeCell ref="B20:B34"/>
    <mergeCell ref="B35:B38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5"/>
  <sheetViews>
    <sheetView workbookViewId="0">
      <selection activeCell="H22" sqref="H22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10" x14ac:dyDescent="0.2">
      <c r="B3" s="113" t="s">
        <v>5</v>
      </c>
      <c r="C3" s="113"/>
      <c r="D3" s="113"/>
      <c r="E3" s="113"/>
      <c r="F3" s="113"/>
      <c r="G3" s="113"/>
      <c r="H3" s="113"/>
    </row>
    <row r="4" spans="2:10" x14ac:dyDescent="0.2">
      <c r="B4" s="113"/>
      <c r="C4" s="113"/>
      <c r="D4" s="113"/>
      <c r="E4" s="113"/>
      <c r="F4" s="113"/>
      <c r="G4" s="113"/>
      <c r="H4" s="113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34</v>
      </c>
    </row>
    <row r="6" spans="2:10" ht="14" customHeight="1" x14ac:dyDescent="0.2">
      <c r="B6" s="13"/>
      <c r="C6" s="6"/>
      <c r="D6" s="6"/>
      <c r="E6" s="14"/>
      <c r="F6" s="27"/>
      <c r="G6" s="15"/>
      <c r="H6" s="28"/>
    </row>
    <row r="7" spans="2:10" ht="14" customHeight="1" x14ac:dyDescent="0.2">
      <c r="B7" s="13" t="s">
        <v>28</v>
      </c>
      <c r="C7" s="6"/>
      <c r="D7" s="6"/>
      <c r="E7" s="14">
        <v>11</v>
      </c>
      <c r="F7" s="104">
        <f>8*6</f>
        <v>48</v>
      </c>
      <c r="G7" s="15">
        <f>+F7*E7</f>
        <v>528</v>
      </c>
      <c r="H7" s="28"/>
    </row>
    <row r="8" spans="2:10" ht="14" customHeight="1" x14ac:dyDescent="0.2">
      <c r="B8" s="13" t="s">
        <v>81</v>
      </c>
      <c r="C8" s="6"/>
      <c r="D8" s="6"/>
      <c r="E8" s="14">
        <v>11</v>
      </c>
      <c r="F8" s="104">
        <f>12*8</f>
        <v>96</v>
      </c>
      <c r="G8" s="15">
        <f>+F8*E8</f>
        <v>1056</v>
      </c>
      <c r="H8" s="28"/>
    </row>
    <row r="9" spans="2:10" ht="14" customHeight="1" x14ac:dyDescent="0.2">
      <c r="B9" s="13" t="s">
        <v>71</v>
      </c>
      <c r="C9" s="6"/>
      <c r="D9" s="6"/>
      <c r="E9" s="14">
        <v>11</v>
      </c>
      <c r="F9" s="104">
        <f>10*8</f>
        <v>80</v>
      </c>
      <c r="G9" s="15">
        <f>+F9*E9</f>
        <v>880</v>
      </c>
      <c r="H9" s="28"/>
    </row>
    <row r="10" spans="2:10" ht="14" customHeight="1" x14ac:dyDescent="0.2">
      <c r="B10" s="13" t="s">
        <v>107</v>
      </c>
      <c r="C10" s="6"/>
      <c r="D10" s="6"/>
      <c r="E10" s="14">
        <v>9.5</v>
      </c>
      <c r="F10" s="105">
        <f>5*8</f>
        <v>40</v>
      </c>
      <c r="G10" s="15">
        <f>+E10*F10</f>
        <v>380</v>
      </c>
      <c r="H10" s="28"/>
    </row>
    <row r="11" spans="2:10" ht="14" customHeight="1" x14ac:dyDescent="0.2">
      <c r="B11" s="13" t="s">
        <v>141</v>
      </c>
      <c r="C11" s="6"/>
      <c r="D11" s="6"/>
      <c r="E11" s="14">
        <v>11.44</v>
      </c>
      <c r="F11" s="104">
        <f>5*8</f>
        <v>40</v>
      </c>
      <c r="G11" s="15">
        <f>+E11*F11</f>
        <v>457.59999999999997</v>
      </c>
      <c r="H11" s="28"/>
    </row>
    <row r="12" spans="2:10" x14ac:dyDescent="0.2">
      <c r="B12" s="13"/>
      <c r="C12" s="6"/>
      <c r="D12" s="6"/>
      <c r="E12" s="14"/>
      <c r="F12" s="104"/>
      <c r="G12" s="15"/>
      <c r="H12" s="28"/>
    </row>
    <row r="13" spans="2:10" ht="15" thickBot="1" x14ac:dyDescent="0.25">
      <c r="B13" s="3" t="s">
        <v>6</v>
      </c>
      <c r="C13" s="4"/>
      <c r="D13" s="4"/>
      <c r="E13" s="4"/>
      <c r="F13" s="4"/>
      <c r="G13" s="22">
        <f>+SUM(G6:G12)</f>
        <v>3301.6</v>
      </c>
      <c r="H13" s="66"/>
    </row>
    <row r="14" spans="2:10" ht="15" thickTop="1" x14ac:dyDescent="0.2">
      <c r="B14" s="8"/>
      <c r="C14" s="7"/>
      <c r="D14" s="7"/>
      <c r="E14" s="7"/>
      <c r="F14" s="7"/>
      <c r="G14" s="9"/>
      <c r="H14" s="67"/>
    </row>
    <row r="15" spans="2:10" x14ac:dyDescent="0.2">
      <c r="B15" s="113"/>
      <c r="C15" s="113"/>
      <c r="D15" s="113"/>
      <c r="E15" s="113"/>
      <c r="F15" s="113"/>
      <c r="G15" s="113"/>
      <c r="H15" s="113"/>
      <c r="I15" s="2"/>
      <c r="J15" s="67"/>
    </row>
  </sheetData>
  <mergeCells count="3">
    <mergeCell ref="B15:H15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B7" sqref="B7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68"/>
      <c r="B1" s="19"/>
      <c r="C1" s="19"/>
      <c r="D1" s="19"/>
      <c r="E1" s="19"/>
      <c r="F1" s="19"/>
      <c r="G1" s="19"/>
      <c r="H1" s="19"/>
      <c r="I1" s="19"/>
      <c r="J1" s="19"/>
      <c r="K1" s="69"/>
    </row>
    <row r="2" spans="1:11" ht="32" customHeight="1" x14ac:dyDescent="0.2">
      <c r="A2" s="68"/>
      <c r="B2" s="98" t="s">
        <v>87</v>
      </c>
      <c r="C2" s="98" t="s">
        <v>32</v>
      </c>
      <c r="D2" s="98" t="s">
        <v>49</v>
      </c>
      <c r="E2" s="98" t="s">
        <v>9</v>
      </c>
      <c r="F2" s="98" t="s">
        <v>10</v>
      </c>
      <c r="G2" s="98" t="s">
        <v>35</v>
      </c>
      <c r="H2" s="98" t="s">
        <v>12</v>
      </c>
      <c r="I2" s="98" t="s">
        <v>55</v>
      </c>
      <c r="J2" s="98" t="s">
        <v>119</v>
      </c>
      <c r="K2" s="57"/>
    </row>
    <row r="3" spans="1:11" ht="13" customHeight="1" x14ac:dyDescent="0.2">
      <c r="A3" s="70"/>
      <c r="B3" s="21"/>
      <c r="C3" s="71"/>
      <c r="D3" s="72"/>
      <c r="E3" s="73"/>
      <c r="F3" s="74"/>
      <c r="G3" s="75"/>
      <c r="H3" s="18"/>
      <c r="I3" s="18"/>
      <c r="J3" s="18"/>
      <c r="K3" s="76"/>
    </row>
    <row r="4" spans="1:11" x14ac:dyDescent="0.2">
      <c r="A4" s="70"/>
      <c r="B4" s="77" t="s">
        <v>116</v>
      </c>
      <c r="C4" s="78" t="s">
        <v>129</v>
      </c>
      <c r="D4" s="79">
        <v>88329360</v>
      </c>
      <c r="E4" s="80" t="s">
        <v>117</v>
      </c>
      <c r="F4" s="81" t="s">
        <v>118</v>
      </c>
      <c r="G4" s="82"/>
      <c r="H4" s="83"/>
      <c r="I4" s="83" t="s">
        <v>121</v>
      </c>
      <c r="J4" s="83" t="s">
        <v>120</v>
      </c>
      <c r="K4" s="76"/>
    </row>
    <row r="5" spans="1:11" x14ac:dyDescent="0.2">
      <c r="A5" s="70"/>
      <c r="B5" s="21" t="s">
        <v>122</v>
      </c>
      <c r="C5" s="71" t="s">
        <v>123</v>
      </c>
      <c r="D5" s="84" t="s">
        <v>124</v>
      </c>
      <c r="E5" s="85" t="s">
        <v>136</v>
      </c>
      <c r="F5" s="74" t="s">
        <v>139</v>
      </c>
      <c r="G5" s="75"/>
      <c r="H5" s="18"/>
      <c r="I5" s="18" t="s">
        <v>125</v>
      </c>
      <c r="J5" s="18"/>
      <c r="K5" s="76"/>
    </row>
    <row r="6" spans="1:11" x14ac:dyDescent="0.2">
      <c r="A6" s="70" t="s">
        <v>140</v>
      </c>
      <c r="B6" s="77" t="s">
        <v>137</v>
      </c>
      <c r="C6" s="86" t="s">
        <v>133</v>
      </c>
      <c r="D6" s="87" t="s">
        <v>134</v>
      </c>
      <c r="E6" s="80" t="s">
        <v>135</v>
      </c>
      <c r="F6" s="81" t="s">
        <v>138</v>
      </c>
      <c r="G6" s="82"/>
      <c r="H6" s="83"/>
      <c r="I6" s="83"/>
      <c r="J6" s="83"/>
      <c r="K6" s="76"/>
    </row>
    <row r="7" spans="1:11" x14ac:dyDescent="0.2">
      <c r="A7" s="70"/>
      <c r="B7" s="21"/>
      <c r="D7" s="84"/>
      <c r="E7" s="88"/>
      <c r="F7" s="74"/>
      <c r="G7" s="75"/>
      <c r="H7" s="18"/>
      <c r="I7" s="18"/>
      <c r="J7" s="18"/>
      <c r="K7" s="76"/>
    </row>
    <row r="8" spans="1:11" x14ac:dyDescent="0.2">
      <c r="A8" s="68"/>
      <c r="B8" s="77"/>
      <c r="C8" s="86"/>
      <c r="D8" s="87"/>
      <c r="E8" s="80"/>
      <c r="F8" s="81"/>
      <c r="G8" s="82"/>
      <c r="H8" s="83"/>
      <c r="I8" s="83"/>
      <c r="J8" s="83"/>
      <c r="K8" s="76"/>
    </row>
    <row r="9" spans="1:11" x14ac:dyDescent="0.2">
      <c r="A9" s="19"/>
      <c r="B9" s="21"/>
      <c r="C9" s="71"/>
      <c r="D9" s="72"/>
      <c r="E9" s="73"/>
      <c r="F9" s="74"/>
      <c r="G9" s="75"/>
      <c r="H9" s="18"/>
      <c r="I9" s="89"/>
      <c r="J9" s="18"/>
      <c r="K9" s="76"/>
    </row>
    <row r="10" spans="1:11" x14ac:dyDescent="0.2">
      <c r="A10" s="68"/>
      <c r="B10" s="77"/>
      <c r="C10" s="86"/>
      <c r="D10" s="78"/>
      <c r="E10" s="80"/>
      <c r="F10" s="81"/>
      <c r="G10" s="83"/>
      <c r="H10" s="83"/>
      <c r="I10" s="83"/>
      <c r="J10" s="83"/>
      <c r="K10" s="76"/>
    </row>
    <row r="11" spans="1:11" x14ac:dyDescent="0.2">
      <c r="A11" s="68"/>
      <c r="B11" s="21"/>
      <c r="C11" s="71"/>
      <c r="D11" s="90"/>
      <c r="E11" s="85"/>
      <c r="F11" s="74"/>
      <c r="G11" s="18"/>
      <c r="H11" s="18"/>
      <c r="I11" s="18"/>
      <c r="J11" s="18"/>
      <c r="K11" s="76"/>
    </row>
    <row r="12" spans="1:11" x14ac:dyDescent="0.2">
      <c r="A12" s="19"/>
      <c r="B12" s="77"/>
      <c r="C12" s="86"/>
      <c r="D12" s="78"/>
      <c r="E12" s="80"/>
      <c r="F12" s="91"/>
      <c r="G12" s="83"/>
      <c r="H12" s="83"/>
      <c r="I12" s="83"/>
      <c r="J12" s="83"/>
      <c r="K12" s="18"/>
    </row>
    <row r="13" spans="1:11" x14ac:dyDescent="0.2">
      <c r="A13" s="19"/>
      <c r="B13" s="21"/>
      <c r="C13" s="19"/>
      <c r="D13" s="92"/>
      <c r="E13" s="36"/>
      <c r="G13" s="19"/>
      <c r="H13" s="19"/>
      <c r="I13" s="19"/>
      <c r="J13" s="19"/>
      <c r="K13" s="19"/>
    </row>
    <row r="14" spans="1:11" x14ac:dyDescent="0.2">
      <c r="B14" s="93"/>
      <c r="C14" s="94"/>
      <c r="D14" s="95"/>
      <c r="E14" s="95"/>
      <c r="F14" s="94"/>
      <c r="G14" s="94"/>
      <c r="H14" s="94"/>
      <c r="I14" s="94"/>
      <c r="J14" s="94"/>
    </row>
    <row r="15" spans="1:11" x14ac:dyDescent="0.2">
      <c r="B15" s="96"/>
      <c r="D15" s="97"/>
      <c r="E15" s="88"/>
    </row>
    <row r="16" spans="1:11" x14ac:dyDescent="0.2">
      <c r="B16" s="93"/>
      <c r="C16" s="94"/>
      <c r="D16" s="95"/>
      <c r="E16" s="95"/>
      <c r="F16" s="94"/>
      <c r="G16" s="94"/>
      <c r="H16" s="94"/>
      <c r="I16" s="94"/>
      <c r="J16" s="94"/>
    </row>
    <row r="17" spans="2:5" x14ac:dyDescent="0.2">
      <c r="B17" s="96"/>
      <c r="D17" s="88"/>
      <c r="E17" s="8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0"/>
      <c r="C6" s="100" t="s">
        <v>23</v>
      </c>
      <c r="D6" s="100" t="s">
        <v>16</v>
      </c>
      <c r="E6" s="100" t="s">
        <v>24</v>
      </c>
      <c r="F6" s="100" t="s">
        <v>27</v>
      </c>
      <c r="G6" s="100" t="s">
        <v>25</v>
      </c>
      <c r="H6" s="100"/>
      <c r="I6" s="100" t="s">
        <v>26</v>
      </c>
      <c r="J6" s="100" t="s">
        <v>19</v>
      </c>
      <c r="K6" s="100" t="s">
        <v>33</v>
      </c>
      <c r="L6" s="100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113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51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99" t="s">
        <v>99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58" t="s">
        <v>18</v>
      </c>
      <c r="B17" s="5">
        <v>40</v>
      </c>
      <c r="C17" s="5" t="s">
        <v>50</v>
      </c>
    </row>
    <row r="18" spans="1:7" x14ac:dyDescent="0.2">
      <c r="A18" s="58" t="s">
        <v>17</v>
      </c>
      <c r="B18" s="5">
        <v>10</v>
      </c>
    </row>
    <row r="19" spans="1:7" x14ac:dyDescent="0.2">
      <c r="A19" s="58" t="s">
        <v>113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2024-06-24T11:33:15Z</dcterms:modified>
</cp:coreProperties>
</file>