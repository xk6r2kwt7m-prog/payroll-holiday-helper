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13B44DED-390B-CC46-92B2-6C2B9D18BFBB}" xr6:coauthVersionLast="47" xr6:coauthVersionMax="47" xr10:uidLastSave="{00000000-0000-0000-0000-000000000000}"/>
  <bookViews>
    <workbookView xWindow="-60" yWindow="6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0" i="9" l="1"/>
  <c r="K48" i="9"/>
  <c r="K49" i="9"/>
  <c r="K50" i="9"/>
  <c r="K28" i="9"/>
  <c r="K29" i="9"/>
  <c r="K30" i="9"/>
  <c r="K31" i="9"/>
  <c r="K32" i="9"/>
  <c r="K33" i="9"/>
  <c r="K34" i="9"/>
  <c r="K36" i="9"/>
  <c r="K37" i="9"/>
  <c r="K38" i="9"/>
  <c r="K39" i="9"/>
  <c r="K40" i="9"/>
  <c r="K41" i="9"/>
  <c r="K42" i="9"/>
  <c r="K43" i="9"/>
  <c r="K44" i="9"/>
  <c r="K45" i="9"/>
  <c r="K46" i="9"/>
  <c r="K2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G12" i="2"/>
  <c r="I37" i="9"/>
  <c r="I40" i="9"/>
  <c r="K7" i="9"/>
  <c r="G10" i="2"/>
  <c r="G9" i="2"/>
  <c r="G8" i="2"/>
  <c r="G7" i="2"/>
  <c r="G6" i="2"/>
  <c r="G11" i="2"/>
  <c r="J35" i="9"/>
  <c r="K35" i="9" s="1"/>
  <c r="G9" i="6" l="1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51" i="9" l="1"/>
  <c r="B4" i="3" l="1"/>
  <c r="H51" i="9"/>
  <c r="K47" i="9"/>
  <c r="D7" i="6"/>
  <c r="D9" i="6"/>
  <c r="K51" i="9" l="1"/>
  <c r="C7" i="3" s="1"/>
  <c r="J51" i="9"/>
  <c r="B24" i="6" l="1"/>
  <c r="F28" i="6" l="1"/>
  <c r="E26" i="6"/>
  <c r="F27" i="6" s="1"/>
  <c r="G27" i="6" s="1"/>
  <c r="G13" i="2" l="1"/>
  <c r="C9" i="3" s="1"/>
  <c r="L7" i="6" l="1"/>
  <c r="F7" i="6" l="1"/>
  <c r="G7" i="6" l="1"/>
  <c r="H7" i="6" l="1"/>
  <c r="I7" i="6" l="1"/>
  <c r="J7" i="6" s="1"/>
  <c r="I51" i="9" l="1"/>
  <c r="C8" i="3" s="1"/>
  <c r="C10" i="3" l="1"/>
  <c r="K7" i="6"/>
</calcChain>
</file>

<file path=xl/sharedStrings.xml><?xml version="1.0" encoding="utf-8"?>
<sst xmlns="http://schemas.openxmlformats.org/spreadsheetml/2006/main" count="201" uniqueCount="177">
  <si>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</si>
  <si>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</si>
  <si>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</si>
  <si>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</si>
  <si>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</si>
  <si>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</si>
  <si>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</si>
  <si>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</si>
  <si>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</si>
  <si>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</si>
  <si>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</si>
  <si>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</si>
  <si>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</si>
  <si>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</si>
  <si>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</si>
  <si>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</si>
  <si>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</si>
  <si>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</si>
  <si>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</si>
  <si>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</si>
  <si>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</si>
  <si>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</si>
  <si>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</si>
  <si>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</si>
  <si>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</si>
  <si>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</si>
  <si>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</si>
  <si>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</si>
  <si>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</si>
  <si>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</si>
  <si>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</si>
  <si>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</si>
  <si>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</si>
  <si>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</si>
  <si>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</si>
  <si>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</si>
  <si>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</si>
  <si>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</si>
  <si>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</si>
  <si>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</si>
  <si>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</si>
  <si>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</si>
  <si>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</si>
  <si>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</si>
  <si>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</si>
  <si>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</si>
  <si>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</si>
  <si>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</si>
  <si>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</si>
  <si>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</si>
  <si>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</si>
  <si>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</si>
  <si>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</si>
  <si>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</si>
  <si>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</si>
  <si>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</si>
  <si>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</si>
  <si>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</si>
  <si>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</si>
  <si>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</si>
  <si>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</si>
  <si>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</si>
  <si>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</si>
  <si>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</si>
  <si>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</si>
  <si>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</si>
  <si>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</si>
  <si>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</si>
  <si>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</si>
  <si>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</si>
  <si>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</si>
  <si>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</si>
  <si>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</si>
  <si>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</si>
  <si>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</si>
  <si>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Rios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</si>
  <si>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</si>
  <si>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</si>
  <si>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</si>
  <si>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</si>
  <si>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</si>
  <si>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</si>
  <si>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</si>
  <si>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</si>
  <si>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</si>
  <si>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</si>
  <si>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</si>
  <si>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</si>
  <si>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</si>
  <si>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</si>
  <si>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</si>
  <si>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</si>
  <si>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</si>
  <si>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</si>
  <si>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</si>
  <si>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</si>
  <si>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</si>
  <si>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</si>
  <si>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</si>
  <si>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</si>
  <si>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</si>
  <si>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</si>
  <si>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</si>
  <si>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</si>
  <si>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</si>
  <si>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 xml:space="preserve">Sreeja </t>
  </si>
  <si>
    <t>Vadlapudi</t>
  </si>
  <si>
    <t xml:space="preserve">Olga </t>
  </si>
  <si>
    <t xml:space="preserve">Quilumba </t>
  </si>
  <si>
    <t xml:space="preserve">Leaver </t>
  </si>
  <si>
    <t>Kitty</t>
  </si>
  <si>
    <t xml:space="preserve">Fatima </t>
  </si>
  <si>
    <t xml:space="preserve">Ashraf </t>
  </si>
  <si>
    <t xml:space="preserve">Resid. Permit </t>
  </si>
  <si>
    <t xml:space="preserve">Starter </t>
  </si>
  <si>
    <t>Arun</t>
  </si>
  <si>
    <t xml:space="preserve">Thota </t>
  </si>
  <si>
    <t xml:space="preserve">starter/leaver </t>
  </si>
  <si>
    <t>starter</t>
  </si>
  <si>
    <t xml:space="preserve">Miama </t>
  </si>
  <si>
    <t>Iddisah</t>
  </si>
  <si>
    <t xml:space="preserve">Rithwik </t>
  </si>
  <si>
    <t>Godishala</t>
  </si>
  <si>
    <t xml:space="preserve">Eliana </t>
  </si>
  <si>
    <t xml:space="preserve">Sebastian </t>
  </si>
  <si>
    <t>22nd of July to 25th of August 2024</t>
  </si>
  <si>
    <t xml:space="preserve">Gus </t>
  </si>
  <si>
    <t xml:space="preserve">Jessica </t>
  </si>
  <si>
    <t xml:space="preserve">Maria </t>
  </si>
  <si>
    <t xml:space="preserve">Rachel </t>
  </si>
  <si>
    <t xml:space="preserve">Yariel </t>
  </si>
  <si>
    <t xml:space="preserve">Kavi </t>
  </si>
  <si>
    <t xml:space="preserve">Hamilton </t>
  </si>
  <si>
    <t xml:space="preserve">Brickman </t>
  </si>
  <si>
    <t>Jody Samantha</t>
  </si>
  <si>
    <t xml:space="preserve">Jody Samantha Brickman </t>
  </si>
  <si>
    <t>PJ398613B</t>
  </si>
  <si>
    <t>83681807</t>
  </si>
  <si>
    <t xml:space="preserve">Gumery </t>
  </si>
  <si>
    <t xml:space="preserve">Gus William Gumery </t>
  </si>
  <si>
    <t>PK032120A</t>
  </si>
  <si>
    <t>13629029</t>
  </si>
  <si>
    <t xml:space="preserve">Jessica Rea Savanna Hamilton </t>
  </si>
  <si>
    <t>PK137829B</t>
  </si>
  <si>
    <t>74006462</t>
  </si>
  <si>
    <t>SW929447D</t>
  </si>
  <si>
    <t>37263163</t>
  </si>
  <si>
    <t>Chun Yin Lin (Julian)</t>
  </si>
  <si>
    <t>Kavi Sanghani</t>
  </si>
  <si>
    <t>NA</t>
  </si>
  <si>
    <t>42333461</t>
  </si>
  <si>
    <t xml:space="preserve">BRITISH </t>
  </si>
  <si>
    <t>Kim Roxanne  Aglupos</t>
  </si>
  <si>
    <t>PM707916A</t>
  </si>
  <si>
    <t xml:space="preserve">Maria Salamanca Vieira </t>
  </si>
  <si>
    <t>SP609611D</t>
  </si>
  <si>
    <t>Rachel Makkar</t>
  </si>
  <si>
    <t>SJ568378C</t>
  </si>
  <si>
    <t>47368383</t>
  </si>
  <si>
    <t>040003</t>
  </si>
  <si>
    <t xml:space="preserve">Rea Fernandes </t>
  </si>
  <si>
    <t>SY820659D</t>
  </si>
  <si>
    <t>BP021349B</t>
  </si>
  <si>
    <t xml:space="preserve">Rea  Fernandes </t>
  </si>
  <si>
    <t xml:space="preserve">Vieira </t>
  </si>
  <si>
    <t>Sanghani</t>
  </si>
  <si>
    <t xml:space="preserve">Yagual Herrera </t>
  </si>
  <si>
    <t xml:space="preserve">Yariel Herrera </t>
  </si>
  <si>
    <t xml:space="preserve">Kim </t>
  </si>
  <si>
    <t xml:space="preserve">Rochelle </t>
  </si>
  <si>
    <t>Makkar</t>
  </si>
  <si>
    <t xml:space="preserve">Aglupos </t>
  </si>
  <si>
    <t xml:space="preserve">Chun Yin Lin  </t>
  </si>
  <si>
    <t>Jayaraj</t>
  </si>
  <si>
    <t>SC894824A</t>
  </si>
  <si>
    <t>Kate</t>
  </si>
  <si>
    <t xml:space="preserve">Mason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</si>
</sst>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7" borderId="22" xfId="0" applyFont="1" applyFill="1" applyBorder="1"/>
    <xf numFmtId="0" fontId="10" fillId="7" borderId="22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2" xfId="0" applyFont="1" applyFill="1" applyBorder="1"/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2" borderId="1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78" applyNumberFormat="1" applyFont="1" applyFill="1" applyBorder="1" applyAlignment="1">
      <alignment horizontal="center" vertical="center"/>
    </xf>
    <xf numFmtId="0" fontId="9" fillId="5" borderId="0" xfId="78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165" fontId="9" fillId="5" borderId="24" xfId="0" applyNumberFormat="1" applyFont="1" applyFill="1" applyBorder="1" applyAlignment="1">
      <alignment horizontal="center" vertical="center"/>
    </xf>
    <xf numFmtId="0" fontId="9" fillId="5" borderId="24" xfId="0" applyNumberFormat="1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left" vertical="center"/>
    </xf>
    <xf numFmtId="165" fontId="9" fillId="2" borderId="29" xfId="0" applyNumberFormat="1" applyFont="1" applyFill="1" applyBorder="1" applyAlignment="1">
      <alignment horizontal="center" vertical="center"/>
    </xf>
    <xf numFmtId="0" fontId="9" fillId="2" borderId="29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5" borderId="24" xfId="78" applyNumberFormat="1" applyFont="1" applyFill="1" applyBorder="1" applyAlignment="1">
      <alignment horizontal="center" vertical="center"/>
    </xf>
    <xf numFmtId="0" fontId="9" fillId="2" borderId="29" xfId="78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5</xdr:row>
      <xdr:rowOff>136800</xdr:rowOff>
    </xdr:from>
    <xdr:to>
      <xdr:col>3</xdr:col>
      <xdr:colOff>388980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E35" sqref="E35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53"/>
      <c r="C6" s="54" t="s">
        <v>7</v>
      </c>
    </row>
    <row r="7" spans="1:6" ht="17" thickTop="1" x14ac:dyDescent="0.2">
      <c r="B7" s="5" t="s">
        <v>94</v>
      </c>
      <c r="C7" s="10">
        <f>+'Timesheet '!K51</f>
        <v>51457.247899999995</v>
      </c>
    </row>
    <row r="8" spans="1:6" x14ac:dyDescent="0.2">
      <c r="B8" s="5" t="s">
        <v>46</v>
      </c>
      <c r="C8" s="10">
        <f>+'Timesheet '!I51+'Timesheet '!H51</f>
        <v>2019.4135999999999</v>
      </c>
    </row>
    <row r="9" spans="1:6" x14ac:dyDescent="0.2">
      <c r="B9" s="5" t="s">
        <v>93</v>
      </c>
      <c r="C9" s="10">
        <f>'Holiday notes '!G13</f>
        <v>4120</v>
      </c>
    </row>
    <row r="10" spans="1:6" ht="33" customHeight="1" thickBot="1" x14ac:dyDescent="0.25">
      <c r="B10" s="11" t="s">
        <v>8</v>
      </c>
      <c r="C10" s="17">
        <f>SUM(C7:C9)</f>
        <v>57596.661499999995</v>
      </c>
    </row>
    <row r="11" spans="1:6" ht="17" thickTop="1" x14ac:dyDescent="0.2">
      <c r="C11" s="89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51"/>
  <sheetViews>
    <sheetView tabSelected="1" zoomScale="111" zoomScaleNormal="110" workbookViewId="0">
      <selection activeCell="J51" sqref="J51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11.66406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48" t="s">
        <v>89</v>
      </c>
      <c r="C2" s="19"/>
    </row>
    <row r="3" spans="2:12" x14ac:dyDescent="0.2">
      <c r="B3" s="49" t="s">
        <v>90</v>
      </c>
      <c r="C3" s="5" t="s">
        <v>125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50" t="s">
        <v>70</v>
      </c>
      <c r="C6" s="51" t="s">
        <v>86</v>
      </c>
      <c r="D6" s="51" t="s">
        <v>62</v>
      </c>
      <c r="E6" s="51" t="s">
        <v>61</v>
      </c>
      <c r="F6" s="51" t="s">
        <v>63</v>
      </c>
      <c r="G6" s="51" t="s">
        <v>66</v>
      </c>
      <c r="H6" s="51" t="s">
        <v>13</v>
      </c>
      <c r="I6" s="51" t="s">
        <v>67</v>
      </c>
      <c r="J6" s="51" t="s">
        <v>64</v>
      </c>
      <c r="K6" s="51" t="s">
        <v>65</v>
      </c>
      <c r="L6" s="52" t="s">
        <v>87</v>
      </c>
    </row>
    <row r="7" spans="2:12" ht="16" customHeight="1" x14ac:dyDescent="0.2">
      <c r="B7" s="93" t="s">
        <v>83</v>
      </c>
      <c r="C7" s="39"/>
      <c r="D7" s="36" t="s">
        <v>11</v>
      </c>
      <c r="E7" s="36" t="s">
        <v>68</v>
      </c>
      <c r="F7" s="40">
        <v>11.44</v>
      </c>
      <c r="G7" s="40">
        <v>4</v>
      </c>
      <c r="H7" s="40">
        <v>140</v>
      </c>
      <c r="I7" s="40"/>
      <c r="J7" s="100">
        <v>148.91999999999999</v>
      </c>
      <c r="K7" s="40">
        <f>+F7*J7+(G7*J7)+H7</f>
        <v>2439.3247999999999</v>
      </c>
      <c r="L7" s="41"/>
    </row>
    <row r="8" spans="2:12" x14ac:dyDescent="0.2">
      <c r="B8" s="94"/>
      <c r="C8" s="42"/>
      <c r="D8" s="37" t="s">
        <v>69</v>
      </c>
      <c r="E8" s="37" t="s">
        <v>71</v>
      </c>
      <c r="F8" s="43">
        <v>11.44</v>
      </c>
      <c r="G8" s="43">
        <v>2.5</v>
      </c>
      <c r="H8" s="43">
        <v>100</v>
      </c>
      <c r="I8" s="43"/>
      <c r="J8" s="101">
        <v>156.58000000000001</v>
      </c>
      <c r="K8" s="43">
        <f t="shared" ref="K8:K26" si="0">+F8*J8+(G8*J8)+H8</f>
        <v>2282.7251999999999</v>
      </c>
      <c r="L8" s="44"/>
    </row>
    <row r="9" spans="2:12" x14ac:dyDescent="0.2">
      <c r="B9" s="94"/>
      <c r="C9" s="42"/>
      <c r="D9" s="38" t="s">
        <v>42</v>
      </c>
      <c r="E9" s="38" t="s">
        <v>43</v>
      </c>
      <c r="F9" s="45">
        <v>10</v>
      </c>
      <c r="G9" s="45">
        <v>2</v>
      </c>
      <c r="H9" s="45"/>
      <c r="I9" s="45"/>
      <c r="J9" s="102">
        <v>101.17</v>
      </c>
      <c r="K9" s="45">
        <f t="shared" si="0"/>
        <v>1214.04</v>
      </c>
      <c r="L9" s="46"/>
    </row>
    <row r="10" spans="2:12" x14ac:dyDescent="0.2">
      <c r="B10" s="94"/>
      <c r="C10" s="42" t="s">
        <v>109</v>
      </c>
      <c r="D10" s="37" t="s">
        <v>59</v>
      </c>
      <c r="E10" s="37" t="s">
        <v>60</v>
      </c>
      <c r="F10" s="43">
        <v>10.44</v>
      </c>
      <c r="G10" s="43">
        <v>0.5</v>
      </c>
      <c r="H10" s="43"/>
      <c r="I10" s="43"/>
      <c r="J10" s="101">
        <v>18.649999999999999</v>
      </c>
      <c r="K10" s="43">
        <f t="shared" si="0"/>
        <v>204.03099999999998</v>
      </c>
      <c r="L10" s="44"/>
    </row>
    <row r="11" spans="2:12" x14ac:dyDescent="0.2">
      <c r="B11" s="94"/>
      <c r="C11" s="42"/>
      <c r="D11" s="38" t="s">
        <v>56</v>
      </c>
      <c r="E11" s="38" t="s">
        <v>75</v>
      </c>
      <c r="F11" s="45">
        <v>11.5</v>
      </c>
      <c r="G11" s="45">
        <v>3.5</v>
      </c>
      <c r="H11" s="45">
        <v>50</v>
      </c>
      <c r="I11" s="45"/>
      <c r="J11" s="102">
        <v>57.99</v>
      </c>
      <c r="K11" s="45">
        <f t="shared" si="0"/>
        <v>919.85</v>
      </c>
      <c r="L11" s="46"/>
    </row>
    <row r="12" spans="2:12" x14ac:dyDescent="0.2">
      <c r="B12" s="94"/>
      <c r="C12" s="42"/>
      <c r="D12" s="37" t="s">
        <v>47</v>
      </c>
      <c r="E12" s="37" t="s">
        <v>48</v>
      </c>
      <c r="F12" s="43">
        <v>11.42</v>
      </c>
      <c r="G12" s="43">
        <v>1</v>
      </c>
      <c r="H12" s="43">
        <v>100</v>
      </c>
      <c r="I12" s="43"/>
      <c r="J12" s="101">
        <v>130.34</v>
      </c>
      <c r="K12" s="43">
        <f t="shared" si="0"/>
        <v>1718.8227999999999</v>
      </c>
      <c r="L12" s="44"/>
    </row>
    <row r="13" spans="2:12" x14ac:dyDescent="0.2">
      <c r="B13" s="94"/>
      <c r="C13" s="42"/>
      <c r="D13" s="38" t="s">
        <v>41</v>
      </c>
      <c r="E13" s="38" t="s">
        <v>76</v>
      </c>
      <c r="F13" s="45">
        <v>11.44</v>
      </c>
      <c r="G13" s="45">
        <v>1</v>
      </c>
      <c r="H13" s="45">
        <v>50</v>
      </c>
      <c r="I13" s="45"/>
      <c r="J13" s="102">
        <v>117.95</v>
      </c>
      <c r="K13" s="45">
        <f t="shared" si="0"/>
        <v>1517.298</v>
      </c>
      <c r="L13" s="46"/>
    </row>
    <row r="14" spans="2:12" x14ac:dyDescent="0.2">
      <c r="B14" s="94"/>
      <c r="C14" s="42"/>
      <c r="D14" s="37" t="s">
        <v>98</v>
      </c>
      <c r="E14" s="37" t="s">
        <v>99</v>
      </c>
      <c r="F14" s="43">
        <v>9.5</v>
      </c>
      <c r="G14" s="43">
        <v>0.5</v>
      </c>
      <c r="H14" s="43"/>
      <c r="I14" s="43"/>
      <c r="J14" s="101">
        <v>88.47</v>
      </c>
      <c r="K14" s="43">
        <f t="shared" si="0"/>
        <v>884.7</v>
      </c>
      <c r="L14" s="44"/>
    </row>
    <row r="15" spans="2:12" ht="15" customHeight="1" x14ac:dyDescent="0.2">
      <c r="B15" s="95"/>
      <c r="C15" s="42"/>
      <c r="D15" s="38" t="s">
        <v>101</v>
      </c>
      <c r="E15" s="38" t="s">
        <v>102</v>
      </c>
      <c r="F15" s="45">
        <v>11.44</v>
      </c>
      <c r="G15" s="45">
        <v>0.5</v>
      </c>
      <c r="H15" s="45"/>
      <c r="I15" s="45"/>
      <c r="J15" s="102">
        <v>151.13</v>
      </c>
      <c r="K15" s="45">
        <f t="shared" si="0"/>
        <v>1804.4921999999999</v>
      </c>
      <c r="L15" s="46"/>
    </row>
    <row r="16" spans="2:12" ht="15" customHeight="1" x14ac:dyDescent="0.2">
      <c r="B16" s="95"/>
      <c r="C16" s="42" t="s">
        <v>109</v>
      </c>
      <c r="D16" s="37" t="s">
        <v>103</v>
      </c>
      <c r="E16" s="37" t="s">
        <v>104</v>
      </c>
      <c r="F16" s="43">
        <v>9.5</v>
      </c>
      <c r="G16" s="43">
        <v>1</v>
      </c>
      <c r="H16" s="43"/>
      <c r="I16" s="43"/>
      <c r="J16" s="101">
        <v>30.58</v>
      </c>
      <c r="K16" s="43">
        <f t="shared" si="0"/>
        <v>321.08999999999997</v>
      </c>
      <c r="L16" s="44"/>
    </row>
    <row r="17" spans="2:12" ht="15" customHeight="1" x14ac:dyDescent="0.2">
      <c r="B17" s="95"/>
      <c r="C17" s="42" t="s">
        <v>109</v>
      </c>
      <c r="D17" s="38" t="s">
        <v>91</v>
      </c>
      <c r="E17" s="38" t="s">
        <v>92</v>
      </c>
      <c r="F17" s="45">
        <v>9.5</v>
      </c>
      <c r="G17" s="45">
        <v>0.5</v>
      </c>
      <c r="H17" s="45"/>
      <c r="I17" s="45"/>
      <c r="J17" s="102">
        <v>9.5</v>
      </c>
      <c r="K17" s="45">
        <f t="shared" si="0"/>
        <v>95</v>
      </c>
      <c r="L17" s="46"/>
    </row>
    <row r="18" spans="2:12" ht="15" customHeight="1" x14ac:dyDescent="0.2">
      <c r="B18" s="95"/>
      <c r="C18" s="42" t="s">
        <v>118</v>
      </c>
      <c r="D18" s="37" t="s">
        <v>134</v>
      </c>
      <c r="E18" s="37" t="s">
        <v>133</v>
      </c>
      <c r="F18" s="43">
        <v>11.43</v>
      </c>
      <c r="G18" s="43">
        <v>0.67</v>
      </c>
      <c r="H18" s="43"/>
      <c r="I18" s="43"/>
      <c r="J18" s="101">
        <v>39.56</v>
      </c>
      <c r="K18" s="43">
        <f t="shared" si="0"/>
        <v>478.67600000000004</v>
      </c>
      <c r="L18" s="44"/>
    </row>
    <row r="19" spans="2:12" ht="15" customHeight="1" x14ac:dyDescent="0.2">
      <c r="B19" s="95"/>
      <c r="C19" s="42" t="s">
        <v>118</v>
      </c>
      <c r="D19" s="38" t="s">
        <v>126</v>
      </c>
      <c r="E19" s="38" t="s">
        <v>138</v>
      </c>
      <c r="F19" s="45">
        <v>10</v>
      </c>
      <c r="G19" s="45">
        <v>1.5</v>
      </c>
      <c r="H19" s="45"/>
      <c r="I19" s="45"/>
      <c r="J19" s="102">
        <v>36.479999999999997</v>
      </c>
      <c r="K19" s="45">
        <f t="shared" si="0"/>
        <v>419.52</v>
      </c>
      <c r="L19" s="46"/>
    </row>
    <row r="20" spans="2:12" ht="15" customHeight="1" x14ac:dyDescent="0.2">
      <c r="B20" s="95"/>
      <c r="C20" s="42" t="s">
        <v>118</v>
      </c>
      <c r="D20" s="37" t="s">
        <v>128</v>
      </c>
      <c r="E20" s="37" t="s">
        <v>164</v>
      </c>
      <c r="F20" s="43">
        <v>9</v>
      </c>
      <c r="G20" s="43">
        <v>0.5</v>
      </c>
      <c r="H20" s="43"/>
      <c r="I20" s="43"/>
      <c r="J20" s="101">
        <v>41.76</v>
      </c>
      <c r="K20" s="43">
        <f t="shared" si="0"/>
        <v>396.71999999999997</v>
      </c>
      <c r="L20" s="44"/>
    </row>
    <row r="21" spans="2:12" ht="15" customHeight="1" x14ac:dyDescent="0.2">
      <c r="B21" s="95"/>
      <c r="C21" s="42" t="s">
        <v>118</v>
      </c>
      <c r="D21" s="38" t="s">
        <v>131</v>
      </c>
      <c r="E21" s="38" t="s">
        <v>165</v>
      </c>
      <c r="F21" s="45">
        <v>9.5</v>
      </c>
      <c r="G21" s="45">
        <v>0.5</v>
      </c>
      <c r="H21" s="45"/>
      <c r="I21" s="45"/>
      <c r="J21" s="102">
        <v>23.56</v>
      </c>
      <c r="K21" s="45">
        <f t="shared" si="0"/>
        <v>235.6</v>
      </c>
      <c r="L21" s="46"/>
    </row>
    <row r="22" spans="2:12" ht="15" customHeight="1" x14ac:dyDescent="0.2">
      <c r="B22" s="95"/>
      <c r="C22" s="42" t="s">
        <v>118</v>
      </c>
      <c r="D22" s="37" t="s">
        <v>130</v>
      </c>
      <c r="E22" s="37" t="s">
        <v>166</v>
      </c>
      <c r="F22" s="43">
        <v>9</v>
      </c>
      <c r="G22" s="43">
        <v>0.5</v>
      </c>
      <c r="H22" s="43"/>
      <c r="I22" s="43"/>
      <c r="J22" s="101">
        <v>8</v>
      </c>
      <c r="K22" s="43">
        <f t="shared" si="0"/>
        <v>76</v>
      </c>
      <c r="L22" s="44"/>
    </row>
    <row r="23" spans="2:12" ht="15" customHeight="1" x14ac:dyDescent="0.2">
      <c r="B23" s="95"/>
      <c r="C23" s="42" t="s">
        <v>117</v>
      </c>
      <c r="D23" s="38" t="s">
        <v>163</v>
      </c>
      <c r="E23" s="38"/>
      <c r="F23" s="45">
        <v>10</v>
      </c>
      <c r="G23" s="45"/>
      <c r="H23" s="45"/>
      <c r="I23" s="45"/>
      <c r="J23" s="102">
        <v>4.5</v>
      </c>
      <c r="K23" s="45">
        <f t="shared" si="0"/>
        <v>45</v>
      </c>
      <c r="L23" s="46"/>
    </row>
    <row r="24" spans="2:12" ht="15" customHeight="1" x14ac:dyDescent="0.2">
      <c r="B24" s="95"/>
      <c r="C24" s="42" t="s">
        <v>117</v>
      </c>
      <c r="D24" s="37" t="s">
        <v>169</v>
      </c>
      <c r="E24" s="37" t="s">
        <v>173</v>
      </c>
      <c r="F24" s="43">
        <v>11.5</v>
      </c>
      <c r="G24" s="43">
        <v>1</v>
      </c>
      <c r="H24" s="43"/>
      <c r="I24" s="43"/>
      <c r="J24" s="101">
        <v>138.77000000000001</v>
      </c>
      <c r="K24" s="43">
        <f t="shared" si="0"/>
        <v>1734.625</v>
      </c>
      <c r="L24" s="44"/>
    </row>
    <row r="25" spans="2:12" ht="15" customHeight="1" x14ac:dyDescent="0.2">
      <c r="B25" s="95"/>
      <c r="C25" s="42" t="s">
        <v>117</v>
      </c>
      <c r="D25" s="38" t="s">
        <v>127</v>
      </c>
      <c r="E25" s="38" t="s">
        <v>132</v>
      </c>
      <c r="F25" s="45">
        <v>10</v>
      </c>
      <c r="G25" s="45">
        <v>0.5</v>
      </c>
      <c r="H25" s="45"/>
      <c r="I25" s="45"/>
      <c r="J25" s="102">
        <v>11</v>
      </c>
      <c r="K25" s="45">
        <f t="shared" si="0"/>
        <v>115.5</v>
      </c>
      <c r="L25" s="46"/>
    </row>
    <row r="26" spans="2:12" ht="15" thickBot="1" x14ac:dyDescent="0.25">
      <c r="B26" s="95"/>
      <c r="C26" s="42" t="s">
        <v>109</v>
      </c>
      <c r="D26" s="37" t="s">
        <v>119</v>
      </c>
      <c r="E26" s="37" t="s">
        <v>120</v>
      </c>
      <c r="F26" s="43">
        <v>11.5</v>
      </c>
      <c r="G26" s="43">
        <v>0.5</v>
      </c>
      <c r="H26" s="43"/>
      <c r="I26" s="43"/>
      <c r="J26" s="101">
        <v>116.91</v>
      </c>
      <c r="K26" s="43">
        <f t="shared" si="0"/>
        <v>1402.9199999999998</v>
      </c>
      <c r="L26" s="44"/>
    </row>
    <row r="27" spans="2:12" x14ac:dyDescent="0.2">
      <c r="B27" s="93" t="s">
        <v>77</v>
      </c>
      <c r="C27" s="29"/>
      <c r="D27" s="107" t="s">
        <v>39</v>
      </c>
      <c r="E27" s="108" t="s">
        <v>40</v>
      </c>
      <c r="F27" s="109">
        <v>11.5</v>
      </c>
      <c r="G27" s="109">
        <v>2.25</v>
      </c>
      <c r="H27" s="109">
        <v>100</v>
      </c>
      <c r="I27" s="109"/>
      <c r="J27" s="110">
        <v>120.89</v>
      </c>
      <c r="K27" s="109">
        <f>+F27*J27+(G27*J27)+H27</f>
        <v>1762.2375</v>
      </c>
      <c r="L27" s="111"/>
    </row>
    <row r="28" spans="2:12" x14ac:dyDescent="0.2">
      <c r="B28" s="94"/>
      <c r="C28" s="33"/>
      <c r="D28" s="112" t="s">
        <v>58</v>
      </c>
      <c r="E28" s="38" t="s">
        <v>37</v>
      </c>
      <c r="F28" s="45">
        <v>11.7</v>
      </c>
      <c r="G28" s="45">
        <v>2</v>
      </c>
      <c r="H28" s="45">
        <v>100</v>
      </c>
      <c r="I28" s="45"/>
      <c r="J28" s="102">
        <v>93.67</v>
      </c>
      <c r="K28" s="45">
        <f t="shared" ref="K28:K46" si="1">+F28*J28+(G28*J28)+H28</f>
        <v>1383.2789999999998</v>
      </c>
      <c r="L28" s="113"/>
    </row>
    <row r="29" spans="2:12" x14ac:dyDescent="0.2">
      <c r="B29" s="94"/>
      <c r="C29" s="33"/>
      <c r="D29" s="114" t="s">
        <v>57</v>
      </c>
      <c r="E29" s="37" t="s">
        <v>72</v>
      </c>
      <c r="F29" s="43">
        <v>11.44</v>
      </c>
      <c r="G29" s="43">
        <v>3</v>
      </c>
      <c r="H29" s="47">
        <v>60</v>
      </c>
      <c r="I29" s="43"/>
      <c r="J29" s="101">
        <v>80</v>
      </c>
      <c r="K29" s="43">
        <f t="shared" si="1"/>
        <v>1215.1999999999998</v>
      </c>
      <c r="L29" s="115"/>
    </row>
    <row r="30" spans="2:12" ht="9" customHeight="1" x14ac:dyDescent="0.2">
      <c r="B30" s="94"/>
      <c r="C30" s="33"/>
      <c r="D30" s="112"/>
      <c r="E30" s="38"/>
      <c r="F30" s="45"/>
      <c r="G30" s="45"/>
      <c r="H30" s="45"/>
      <c r="I30" s="45"/>
      <c r="J30" s="102"/>
      <c r="K30" s="45">
        <f t="shared" si="1"/>
        <v>0</v>
      </c>
      <c r="L30" s="113"/>
    </row>
    <row r="31" spans="2:12" x14ac:dyDescent="0.2">
      <c r="B31" s="94"/>
      <c r="C31" s="33"/>
      <c r="D31" s="114" t="s">
        <v>44</v>
      </c>
      <c r="E31" s="37" t="s">
        <v>45</v>
      </c>
      <c r="F31" s="43">
        <v>11.44</v>
      </c>
      <c r="G31" s="43">
        <v>1.5</v>
      </c>
      <c r="H31" s="43"/>
      <c r="I31" s="43"/>
      <c r="J31" s="101">
        <v>57.36</v>
      </c>
      <c r="K31" s="43">
        <f t="shared" si="1"/>
        <v>742.23839999999996</v>
      </c>
      <c r="L31" s="115"/>
    </row>
    <row r="32" spans="2:12" x14ac:dyDescent="0.2">
      <c r="B32" s="94"/>
      <c r="C32" s="33"/>
      <c r="D32" s="112" t="s">
        <v>78</v>
      </c>
      <c r="E32" s="38" t="s">
        <v>36</v>
      </c>
      <c r="F32" s="45">
        <v>11.44</v>
      </c>
      <c r="G32" s="45">
        <v>2</v>
      </c>
      <c r="H32" s="45"/>
      <c r="I32" s="45"/>
      <c r="J32" s="102">
        <v>77.58</v>
      </c>
      <c r="K32" s="45">
        <f t="shared" si="1"/>
        <v>1042.6751999999999</v>
      </c>
      <c r="L32" s="113"/>
    </row>
    <row r="33" spans="2:12" x14ac:dyDescent="0.2">
      <c r="B33" s="94"/>
      <c r="C33" s="33"/>
      <c r="D33" s="114" t="s">
        <v>88</v>
      </c>
      <c r="E33" s="37" t="s">
        <v>72</v>
      </c>
      <c r="F33" s="43">
        <v>11.5</v>
      </c>
      <c r="G33" s="47">
        <v>1.5</v>
      </c>
      <c r="H33" s="43"/>
      <c r="I33" s="43"/>
      <c r="J33" s="101">
        <v>122.4</v>
      </c>
      <c r="K33" s="43">
        <f t="shared" si="1"/>
        <v>1591.2000000000003</v>
      </c>
      <c r="L33" s="115"/>
    </row>
    <row r="34" spans="2:12" x14ac:dyDescent="0.2">
      <c r="B34" s="94"/>
      <c r="C34" s="33"/>
      <c r="D34" s="112" t="s">
        <v>79</v>
      </c>
      <c r="E34" s="38" t="s">
        <v>38</v>
      </c>
      <c r="F34" s="45">
        <v>13.6</v>
      </c>
      <c r="G34" s="45"/>
      <c r="H34" s="45">
        <v>50</v>
      </c>
      <c r="I34" s="45"/>
      <c r="J34" s="102">
        <v>169.03</v>
      </c>
      <c r="K34" s="45">
        <f t="shared" si="1"/>
        <v>2348.808</v>
      </c>
      <c r="L34" s="113"/>
    </row>
    <row r="35" spans="2:12" x14ac:dyDescent="0.2">
      <c r="B35" s="94"/>
      <c r="C35" s="33" t="s">
        <v>109</v>
      </c>
      <c r="D35" s="114" t="s">
        <v>73</v>
      </c>
      <c r="E35" s="37" t="s">
        <v>74</v>
      </c>
      <c r="F35" s="43">
        <v>10</v>
      </c>
      <c r="G35" s="43">
        <v>0.5</v>
      </c>
      <c r="H35" s="43"/>
      <c r="I35" s="43"/>
      <c r="J35" s="101">
        <f>82.82+25.36+10</f>
        <v>118.17999999999999</v>
      </c>
      <c r="K35" s="43">
        <f t="shared" si="1"/>
        <v>1240.8899999999999</v>
      </c>
      <c r="L35" s="115"/>
    </row>
    <row r="36" spans="2:12" x14ac:dyDescent="0.2">
      <c r="B36" s="94"/>
      <c r="D36" s="112" t="s">
        <v>54</v>
      </c>
      <c r="E36" s="38" t="s">
        <v>55</v>
      </c>
      <c r="F36" s="45">
        <v>11.44</v>
      </c>
      <c r="G36" s="45">
        <v>1</v>
      </c>
      <c r="H36" s="45"/>
      <c r="I36" s="45"/>
      <c r="J36" s="102">
        <v>79.81</v>
      </c>
      <c r="K36" s="45">
        <f t="shared" si="1"/>
        <v>992.83639999999991</v>
      </c>
      <c r="L36" s="113"/>
    </row>
    <row r="37" spans="2:12" x14ac:dyDescent="0.2">
      <c r="B37" s="94"/>
      <c r="C37" s="33"/>
      <c r="D37" s="114" t="s">
        <v>80</v>
      </c>
      <c r="E37" s="37" t="s">
        <v>81</v>
      </c>
      <c r="F37" s="43">
        <v>11.44</v>
      </c>
      <c r="G37" s="43">
        <v>0.5</v>
      </c>
      <c r="H37" s="92"/>
      <c r="I37" s="92">
        <f>2.62*F37+(G37*2.62)</f>
        <v>31.282799999999998</v>
      </c>
      <c r="J37" s="101">
        <v>82.62</v>
      </c>
      <c r="K37" s="43">
        <f t="shared" si="1"/>
        <v>986.4828</v>
      </c>
      <c r="L37" s="115"/>
    </row>
    <row r="38" spans="2:12" x14ac:dyDescent="0.2">
      <c r="B38" s="94"/>
      <c r="C38" s="33"/>
      <c r="D38" s="112" t="s">
        <v>105</v>
      </c>
      <c r="E38" s="38" t="s">
        <v>106</v>
      </c>
      <c r="F38" s="45">
        <v>11.5</v>
      </c>
      <c r="G38" s="45">
        <v>0.5</v>
      </c>
      <c r="H38" s="45"/>
      <c r="I38" s="45">
        <v>100</v>
      </c>
      <c r="J38" s="102">
        <v>225.96</v>
      </c>
      <c r="K38" s="45">
        <f t="shared" si="1"/>
        <v>2711.52</v>
      </c>
      <c r="L38" s="113"/>
    </row>
    <row r="39" spans="2:12" x14ac:dyDescent="0.2">
      <c r="B39" s="95"/>
      <c r="C39" s="33"/>
      <c r="D39" s="114" t="s">
        <v>107</v>
      </c>
      <c r="E39" s="37" t="s">
        <v>108</v>
      </c>
      <c r="F39" s="43">
        <v>11.44</v>
      </c>
      <c r="G39" s="43">
        <v>1.5</v>
      </c>
      <c r="H39" s="43"/>
      <c r="I39" s="43"/>
      <c r="J39" s="101">
        <v>111.39</v>
      </c>
      <c r="K39" s="43">
        <f t="shared" si="1"/>
        <v>1441.3866</v>
      </c>
      <c r="L39" s="115"/>
    </row>
    <row r="40" spans="2:12" x14ac:dyDescent="0.2">
      <c r="B40" s="95"/>
      <c r="D40" s="112" t="s">
        <v>115</v>
      </c>
      <c r="E40" s="38" t="s">
        <v>116</v>
      </c>
      <c r="F40" s="45">
        <v>11.44</v>
      </c>
      <c r="G40" s="45">
        <v>1</v>
      </c>
      <c r="H40" s="45"/>
      <c r="I40" s="105">
        <f>(146.57-80)*F40+(1*66.57)</f>
        <v>828.13079999999991</v>
      </c>
      <c r="J40" s="102">
        <v>80</v>
      </c>
      <c r="K40" s="45">
        <f t="shared" si="1"/>
        <v>995.19999999999993</v>
      </c>
      <c r="L40" s="113"/>
    </row>
    <row r="41" spans="2:12" x14ac:dyDescent="0.2">
      <c r="B41" s="95"/>
      <c r="C41" s="33"/>
      <c r="D41" s="114" t="s">
        <v>121</v>
      </c>
      <c r="E41" s="37" t="s">
        <v>122</v>
      </c>
      <c r="F41" s="43">
        <v>11.5</v>
      </c>
      <c r="G41" s="43">
        <v>0.5</v>
      </c>
      <c r="H41" s="43"/>
      <c r="I41" s="43"/>
      <c r="J41" s="101">
        <v>101.91</v>
      </c>
      <c r="K41" s="43">
        <f t="shared" si="1"/>
        <v>1222.9199999999998</v>
      </c>
      <c r="L41" s="115"/>
    </row>
    <row r="42" spans="2:12" x14ac:dyDescent="0.2">
      <c r="B42" s="95"/>
      <c r="C42" s="33" t="s">
        <v>117</v>
      </c>
      <c r="D42" s="112" t="s">
        <v>129</v>
      </c>
      <c r="E42" s="38" t="s">
        <v>170</v>
      </c>
      <c r="F42" s="45">
        <v>9.5</v>
      </c>
      <c r="G42" s="45"/>
      <c r="H42" s="45"/>
      <c r="I42" s="45"/>
      <c r="J42" s="102">
        <v>11.65</v>
      </c>
      <c r="K42" s="45">
        <f t="shared" si="1"/>
        <v>110.675</v>
      </c>
      <c r="L42" s="113"/>
    </row>
    <row r="43" spans="2:12" x14ac:dyDescent="0.2">
      <c r="B43" s="95"/>
      <c r="C43" s="33" t="s">
        <v>118</v>
      </c>
      <c r="D43" s="114" t="s">
        <v>168</v>
      </c>
      <c r="E43" s="37" t="s">
        <v>171</v>
      </c>
      <c r="F43" s="43">
        <v>9</v>
      </c>
      <c r="G43" s="43">
        <v>0.5</v>
      </c>
      <c r="H43" s="43"/>
      <c r="I43" s="43"/>
      <c r="J43" s="101">
        <v>31.32</v>
      </c>
      <c r="K43" s="43">
        <f t="shared" si="1"/>
        <v>297.54000000000002</v>
      </c>
      <c r="L43" s="115"/>
    </row>
    <row r="44" spans="2:12" x14ac:dyDescent="0.2">
      <c r="B44" s="95"/>
      <c r="C44" s="33"/>
      <c r="D44" s="112" t="s">
        <v>172</v>
      </c>
      <c r="E44" s="38"/>
      <c r="F44" s="45">
        <v>12</v>
      </c>
      <c r="G44" s="45"/>
      <c r="H44" s="45"/>
      <c r="I44" s="45"/>
      <c r="J44" s="102">
        <v>10.5</v>
      </c>
      <c r="K44" s="45">
        <f t="shared" si="1"/>
        <v>126</v>
      </c>
      <c r="L44" s="113"/>
    </row>
    <row r="45" spans="2:12" x14ac:dyDescent="0.2">
      <c r="B45" s="95"/>
      <c r="C45" s="33" t="s">
        <v>114</v>
      </c>
      <c r="D45" s="114" t="s">
        <v>123</v>
      </c>
      <c r="E45" s="37" t="s">
        <v>124</v>
      </c>
      <c r="F45" s="43">
        <v>11.5</v>
      </c>
      <c r="G45" s="43">
        <v>0.5</v>
      </c>
      <c r="H45" s="43"/>
      <c r="I45" s="43"/>
      <c r="J45" s="101">
        <v>139.52000000000001</v>
      </c>
      <c r="K45" s="43">
        <f t="shared" si="1"/>
        <v>1674.24</v>
      </c>
      <c r="L45" s="115"/>
    </row>
    <row r="46" spans="2:12" ht="15" thickBot="1" x14ac:dyDescent="0.25">
      <c r="B46" s="95"/>
      <c r="C46" s="33"/>
      <c r="D46" s="116" t="s">
        <v>96</v>
      </c>
      <c r="E46" s="117" t="s">
        <v>97</v>
      </c>
      <c r="F46" s="118">
        <v>13.6</v>
      </c>
      <c r="G46" s="118"/>
      <c r="H46" s="118">
        <v>100</v>
      </c>
      <c r="I46" s="118"/>
      <c r="J46" s="119">
        <v>202.3</v>
      </c>
      <c r="K46" s="118">
        <f t="shared" si="1"/>
        <v>2851.28</v>
      </c>
      <c r="L46" s="120"/>
    </row>
    <row r="47" spans="2:12" x14ac:dyDescent="0.2">
      <c r="B47" s="93" t="s">
        <v>100</v>
      </c>
      <c r="C47" s="29"/>
      <c r="D47" s="107" t="s">
        <v>111</v>
      </c>
      <c r="E47" s="108" t="s">
        <v>112</v>
      </c>
      <c r="F47" s="109">
        <v>11.44</v>
      </c>
      <c r="G47" s="109"/>
      <c r="H47" s="109">
        <v>50</v>
      </c>
      <c r="I47" s="109"/>
      <c r="J47" s="124">
        <v>188.55</v>
      </c>
      <c r="K47" s="109">
        <f t="shared" ref="K47:K50" si="2">+F47*J47+(G47*J47)+H47</f>
        <v>2207.0120000000002</v>
      </c>
      <c r="L47" s="111"/>
    </row>
    <row r="48" spans="2:12" x14ac:dyDescent="0.2">
      <c r="B48" s="94"/>
      <c r="C48" s="33"/>
      <c r="D48" s="112" t="s">
        <v>28</v>
      </c>
      <c r="E48" s="38" t="s">
        <v>82</v>
      </c>
      <c r="F48" s="45">
        <v>11.44</v>
      </c>
      <c r="G48" s="45"/>
      <c r="H48" s="45"/>
      <c r="I48" s="45">
        <v>80</v>
      </c>
      <c r="J48" s="103">
        <v>192</v>
      </c>
      <c r="K48" s="45">
        <f t="shared" si="2"/>
        <v>2196.48</v>
      </c>
      <c r="L48" s="113"/>
    </row>
    <row r="49" spans="2:12" x14ac:dyDescent="0.2">
      <c r="B49" s="94"/>
      <c r="C49" s="33"/>
      <c r="D49" s="114" t="s">
        <v>30</v>
      </c>
      <c r="E49" s="37" t="s">
        <v>31</v>
      </c>
      <c r="F49" s="43">
        <v>11.44</v>
      </c>
      <c r="G49" s="43"/>
      <c r="H49" s="43"/>
      <c r="I49" s="43">
        <v>80</v>
      </c>
      <c r="J49" s="104">
        <v>174.8</v>
      </c>
      <c r="K49" s="43">
        <f t="shared" si="2"/>
        <v>1999.712</v>
      </c>
      <c r="L49" s="115"/>
    </row>
    <row r="50" spans="2:12" ht="15" thickBot="1" x14ac:dyDescent="0.25">
      <c r="B50" s="96"/>
      <c r="C50" s="34"/>
      <c r="D50" s="116" t="s">
        <v>14</v>
      </c>
      <c r="E50" s="117" t="s">
        <v>14</v>
      </c>
      <c r="F50" s="118">
        <v>11.5</v>
      </c>
      <c r="G50" s="118">
        <v>2</v>
      </c>
      <c r="H50" s="118"/>
      <c r="I50" s="118"/>
      <c r="J50" s="125">
        <f>189-40</f>
        <v>149</v>
      </c>
      <c r="K50" s="118">
        <f t="shared" si="2"/>
        <v>2011.5</v>
      </c>
      <c r="L50" s="120"/>
    </row>
    <row r="51" spans="2:12" ht="26" customHeight="1" thickBot="1" x14ac:dyDescent="0.25">
      <c r="B51" s="97" t="s">
        <v>84</v>
      </c>
      <c r="C51" s="98"/>
      <c r="D51" s="121"/>
      <c r="E51" s="122"/>
      <c r="F51" s="106">
        <f>+AVERAGE(F7:F50)</f>
        <v>10.984883720930233</v>
      </c>
      <c r="G51" s="122"/>
      <c r="H51" s="106">
        <f>+SUM(H7:H50)</f>
        <v>900</v>
      </c>
      <c r="I51" s="122">
        <f>+SUM(I7:I50)</f>
        <v>1119.4135999999999</v>
      </c>
      <c r="J51" s="122">
        <f>+SUM(J7:J50)</f>
        <v>4052.2600000000007</v>
      </c>
      <c r="K51" s="106">
        <f>+SUM(K7:K50)</f>
        <v>51457.247899999995</v>
      </c>
      <c r="L51" s="123"/>
    </row>
  </sheetData>
  <mergeCells count="4">
    <mergeCell ref="B7:B26"/>
    <mergeCell ref="B27:B46"/>
    <mergeCell ref="B47:B50"/>
    <mergeCell ref="B51:C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5"/>
  <sheetViews>
    <sheetView topLeftCell="A3" workbookViewId="0">
      <selection activeCell="I17" sqref="I17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10" x14ac:dyDescent="0.2">
      <c r="B3" s="99" t="s">
        <v>5</v>
      </c>
      <c r="C3" s="99"/>
      <c r="D3" s="99"/>
      <c r="E3" s="99"/>
      <c r="F3" s="99"/>
      <c r="G3" s="99"/>
      <c r="H3" s="99"/>
    </row>
    <row r="4" spans="2:10" x14ac:dyDescent="0.2">
      <c r="B4" s="99"/>
      <c r="C4" s="99"/>
      <c r="D4" s="99"/>
      <c r="E4" s="99"/>
      <c r="F4" s="99"/>
      <c r="G4" s="99"/>
      <c r="H4" s="99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34</v>
      </c>
    </row>
    <row r="6" spans="2:10" ht="14" customHeight="1" x14ac:dyDescent="0.2">
      <c r="B6" s="13" t="s">
        <v>175</v>
      </c>
      <c r="C6" s="6"/>
      <c r="D6" s="6"/>
      <c r="E6" s="14"/>
      <c r="F6" s="27"/>
      <c r="G6" s="15">
        <f>3*8*9.5</f>
        <v>228</v>
      </c>
      <c r="H6" s="28"/>
    </row>
    <row r="7" spans="2:10" ht="14" customHeight="1" x14ac:dyDescent="0.2">
      <c r="B7" s="13" t="s">
        <v>59</v>
      </c>
      <c r="C7" s="6"/>
      <c r="D7" s="6"/>
      <c r="E7" s="14"/>
      <c r="F7" s="90"/>
      <c r="G7" s="15">
        <f>8*9.5*8</f>
        <v>608</v>
      </c>
      <c r="H7" s="28"/>
    </row>
    <row r="8" spans="2:10" ht="14" customHeight="1" x14ac:dyDescent="0.2">
      <c r="B8" s="13" t="s">
        <v>58</v>
      </c>
      <c r="C8" s="6"/>
      <c r="D8" s="6"/>
      <c r="E8" s="14"/>
      <c r="F8" s="90"/>
      <c r="G8" s="15">
        <f>10*11.7*8</f>
        <v>936</v>
      </c>
      <c r="H8" s="28"/>
    </row>
    <row r="9" spans="2:10" ht="14" customHeight="1" x14ac:dyDescent="0.2">
      <c r="B9" s="13" t="s">
        <v>56</v>
      </c>
      <c r="C9" s="6"/>
      <c r="D9" s="6"/>
      <c r="E9" s="14"/>
      <c r="F9" s="91"/>
      <c r="G9" s="15">
        <f>18*11.5*8</f>
        <v>1656</v>
      </c>
      <c r="H9" s="28"/>
    </row>
    <row r="10" spans="2:10" ht="14" customHeight="1" x14ac:dyDescent="0.2">
      <c r="B10" s="13" t="s">
        <v>176</v>
      </c>
      <c r="C10" s="6"/>
      <c r="D10" s="6"/>
      <c r="E10" s="14"/>
      <c r="F10" s="90"/>
      <c r="G10" s="15">
        <f>9.5*8*7</f>
        <v>532</v>
      </c>
      <c r="H10" s="28"/>
    </row>
    <row r="11" spans="2:10" x14ac:dyDescent="0.2">
      <c r="B11" s="13" t="s">
        <v>73</v>
      </c>
      <c r="C11" s="6"/>
      <c r="D11" s="6"/>
      <c r="E11" s="14"/>
      <c r="F11" s="90"/>
      <c r="G11" s="15">
        <f>2*8*10</f>
        <v>160</v>
      </c>
      <c r="H11" s="28"/>
    </row>
    <row r="12" spans="2:10" x14ac:dyDescent="0.2">
      <c r="B12" s="13" t="s">
        <v>80</v>
      </c>
      <c r="C12" s="6"/>
      <c r="D12" s="6"/>
      <c r="E12" s="14"/>
      <c r="F12" s="90"/>
      <c r="G12" s="15">
        <f>5*8*11.42</f>
        <v>456.8</v>
      </c>
      <c r="H12" s="28"/>
    </row>
    <row r="13" spans="2:10" ht="15" thickBot="1" x14ac:dyDescent="0.25">
      <c r="B13" s="3" t="s">
        <v>6</v>
      </c>
      <c r="C13" s="4"/>
      <c r="D13" s="4"/>
      <c r="E13" s="4"/>
      <c r="F13" s="4"/>
      <c r="G13" s="22">
        <f>+SUM(G6:G11)</f>
        <v>4120</v>
      </c>
      <c r="H13" s="55"/>
    </row>
    <row r="14" spans="2:10" ht="15" thickTop="1" x14ac:dyDescent="0.2">
      <c r="B14" s="8"/>
      <c r="C14" s="7"/>
      <c r="D14" s="7"/>
      <c r="E14" s="7"/>
      <c r="F14" s="7"/>
      <c r="G14" s="9"/>
      <c r="H14" s="56"/>
    </row>
    <row r="15" spans="2:10" x14ac:dyDescent="0.2">
      <c r="B15" s="99"/>
      <c r="C15" s="99"/>
      <c r="D15" s="99"/>
      <c r="E15" s="99"/>
      <c r="F15" s="99"/>
      <c r="G15" s="99"/>
      <c r="H15" s="99"/>
      <c r="I15" s="2"/>
      <c r="J15" s="56"/>
    </row>
  </sheetData>
  <mergeCells count="3">
    <mergeCell ref="B15:H15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6"/>
  <sheetViews>
    <sheetView zoomScale="120" zoomScaleNormal="120" workbookViewId="0">
      <selection activeCell="E20" sqref="E20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57"/>
      <c r="B1" s="19"/>
      <c r="C1" s="19"/>
      <c r="D1" s="19"/>
      <c r="E1" s="19"/>
      <c r="F1" s="19"/>
      <c r="G1" s="19"/>
      <c r="H1" s="19"/>
      <c r="I1" s="19"/>
      <c r="J1" s="19"/>
      <c r="K1" s="58"/>
    </row>
    <row r="2" spans="1:11" ht="32" customHeight="1" x14ac:dyDescent="0.2">
      <c r="A2" s="57"/>
      <c r="B2" s="86" t="s">
        <v>85</v>
      </c>
      <c r="C2" s="86" t="s">
        <v>32</v>
      </c>
      <c r="D2" s="86" t="s">
        <v>49</v>
      </c>
      <c r="E2" s="86" t="s">
        <v>9</v>
      </c>
      <c r="F2" s="86" t="s">
        <v>10</v>
      </c>
      <c r="G2" s="86" t="s">
        <v>35</v>
      </c>
      <c r="H2" s="86" t="s">
        <v>12</v>
      </c>
      <c r="I2" s="86" t="s">
        <v>53</v>
      </c>
      <c r="J2" s="86" t="s">
        <v>113</v>
      </c>
      <c r="K2" s="48"/>
    </row>
    <row r="3" spans="1:11" ht="13" customHeight="1" x14ac:dyDescent="0.2">
      <c r="A3" s="59"/>
      <c r="B3" s="21"/>
      <c r="C3" s="60"/>
      <c r="D3" s="61"/>
      <c r="E3" s="62"/>
      <c r="F3" s="63"/>
      <c r="G3" s="64"/>
      <c r="H3" s="18"/>
      <c r="I3" s="18"/>
      <c r="J3" s="18"/>
      <c r="K3" s="65"/>
    </row>
    <row r="4" spans="1:11" x14ac:dyDescent="0.2">
      <c r="A4" s="59"/>
      <c r="B4" s="21"/>
      <c r="C4" s="60"/>
      <c r="D4" s="72"/>
      <c r="E4" s="73"/>
      <c r="F4" s="63"/>
      <c r="G4" s="64"/>
      <c r="H4" s="18"/>
      <c r="I4" s="18"/>
      <c r="J4" s="18"/>
      <c r="K4" s="65"/>
    </row>
    <row r="5" spans="1:11" x14ac:dyDescent="0.2">
      <c r="A5" s="59"/>
      <c r="B5" s="21"/>
      <c r="D5" s="72"/>
      <c r="E5" s="76"/>
      <c r="F5" s="63"/>
      <c r="G5" s="64"/>
      <c r="H5" s="18"/>
      <c r="I5" s="18"/>
      <c r="J5" s="18"/>
      <c r="K5" s="65"/>
    </row>
    <row r="6" spans="1:11" x14ac:dyDescent="0.2">
      <c r="A6" s="57"/>
      <c r="B6" s="66" t="s">
        <v>139</v>
      </c>
      <c r="C6" s="74" t="s">
        <v>140</v>
      </c>
      <c r="D6" s="75" t="s">
        <v>141</v>
      </c>
      <c r="E6" s="67" t="s">
        <v>159</v>
      </c>
      <c r="F6" s="69"/>
      <c r="G6" s="70"/>
      <c r="H6" s="71"/>
      <c r="I6" s="71"/>
      <c r="J6" s="71"/>
      <c r="K6" s="65"/>
    </row>
    <row r="7" spans="1:11" x14ac:dyDescent="0.2">
      <c r="A7" s="19"/>
      <c r="B7" s="21" t="s">
        <v>142</v>
      </c>
      <c r="C7" s="60" t="s">
        <v>143</v>
      </c>
      <c r="D7" s="61" t="s">
        <v>144</v>
      </c>
      <c r="E7" s="62">
        <v>309790</v>
      </c>
      <c r="F7" s="63"/>
      <c r="G7" s="64"/>
      <c r="H7" s="18"/>
      <c r="I7" s="77"/>
      <c r="J7" s="18"/>
      <c r="K7" s="65"/>
    </row>
    <row r="8" spans="1:11" x14ac:dyDescent="0.2">
      <c r="A8" s="57"/>
      <c r="B8" s="66" t="s">
        <v>135</v>
      </c>
      <c r="C8" s="74" t="s">
        <v>136</v>
      </c>
      <c r="D8" s="67" t="s">
        <v>137</v>
      </c>
      <c r="E8" s="68">
        <v>208373</v>
      </c>
      <c r="F8" s="69"/>
      <c r="G8" s="71"/>
      <c r="H8" s="71"/>
      <c r="I8" s="71"/>
      <c r="J8" s="71"/>
      <c r="K8" s="65"/>
    </row>
    <row r="9" spans="1:11" x14ac:dyDescent="0.2">
      <c r="A9" s="57"/>
      <c r="B9" s="21" t="s">
        <v>147</v>
      </c>
      <c r="C9" s="60" t="s">
        <v>145</v>
      </c>
      <c r="D9" s="78" t="s">
        <v>146</v>
      </c>
      <c r="E9" s="73">
        <v>309487</v>
      </c>
      <c r="F9" s="63"/>
      <c r="G9" s="18"/>
      <c r="H9" s="18"/>
      <c r="I9" s="18"/>
      <c r="J9" s="18"/>
      <c r="K9" s="65"/>
    </row>
    <row r="10" spans="1:11" x14ac:dyDescent="0.2">
      <c r="A10" s="19"/>
      <c r="B10" s="66" t="s">
        <v>148</v>
      </c>
      <c r="C10" s="74" t="s">
        <v>149</v>
      </c>
      <c r="D10" s="67" t="s">
        <v>150</v>
      </c>
      <c r="E10" s="68">
        <v>230801</v>
      </c>
      <c r="F10" s="79" t="s">
        <v>151</v>
      </c>
      <c r="G10" s="71">
        <v>561545701</v>
      </c>
      <c r="H10" s="71"/>
      <c r="I10" s="71"/>
      <c r="J10" s="71"/>
      <c r="K10" s="18"/>
    </row>
    <row r="11" spans="1:11" x14ac:dyDescent="0.2">
      <c r="A11" s="19"/>
      <c r="B11" s="21" t="s">
        <v>152</v>
      </c>
      <c r="C11" s="19" t="s">
        <v>153</v>
      </c>
      <c r="D11" s="80">
        <v>34189973</v>
      </c>
      <c r="E11" s="35">
        <v>401194</v>
      </c>
      <c r="G11" s="19"/>
      <c r="H11" s="19"/>
      <c r="I11" s="19"/>
      <c r="J11" s="19"/>
      <c r="K11" s="19"/>
    </row>
    <row r="12" spans="1:11" x14ac:dyDescent="0.2">
      <c r="B12" s="81" t="s">
        <v>154</v>
      </c>
      <c r="C12" s="82" t="s">
        <v>155</v>
      </c>
      <c r="D12" s="83">
        <v>13696081</v>
      </c>
      <c r="E12" s="83">
        <v>208373</v>
      </c>
      <c r="F12" s="82"/>
      <c r="G12" s="82"/>
      <c r="H12" s="82"/>
      <c r="I12" s="82"/>
      <c r="J12" s="82"/>
    </row>
    <row r="13" spans="1:11" x14ac:dyDescent="0.2">
      <c r="B13" s="84" t="s">
        <v>156</v>
      </c>
      <c r="C13" s="5" t="s">
        <v>157</v>
      </c>
      <c r="D13" s="85" t="s">
        <v>158</v>
      </c>
      <c r="E13" s="76">
        <v>230580</v>
      </c>
    </row>
    <row r="14" spans="1:11" x14ac:dyDescent="0.2">
      <c r="B14" s="81" t="s">
        <v>160</v>
      </c>
      <c r="C14" s="82" t="s">
        <v>161</v>
      </c>
      <c r="D14" s="83">
        <v>12414686</v>
      </c>
      <c r="E14" s="83">
        <v>402313</v>
      </c>
      <c r="F14" s="82"/>
      <c r="G14" s="82"/>
      <c r="H14" s="82"/>
      <c r="I14" s="82"/>
      <c r="J14" s="82"/>
    </row>
    <row r="15" spans="1:11" x14ac:dyDescent="0.2">
      <c r="B15" s="84" t="s">
        <v>167</v>
      </c>
      <c r="C15" s="5" t="s">
        <v>162</v>
      </c>
      <c r="D15" s="76">
        <v>53767668</v>
      </c>
      <c r="E15" s="76">
        <v>309179</v>
      </c>
    </row>
    <row r="16" spans="1:11" x14ac:dyDescent="0.2">
      <c r="B16" s="5" t="s">
        <v>169</v>
      </c>
      <c r="C16" s="5" t="s">
        <v>174</v>
      </c>
      <c r="D16" s="76">
        <v>45098957</v>
      </c>
      <c r="E16" s="76">
        <v>70436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88"/>
      <c r="C6" s="88" t="s">
        <v>23</v>
      </c>
      <c r="D6" s="88" t="s">
        <v>16</v>
      </c>
      <c r="E6" s="88" t="s">
        <v>24</v>
      </c>
      <c r="F6" s="88" t="s">
        <v>27</v>
      </c>
      <c r="G6" s="88" t="s">
        <v>25</v>
      </c>
      <c r="H6" s="88"/>
      <c r="I6" s="88" t="s">
        <v>26</v>
      </c>
      <c r="J6" s="88" t="s">
        <v>19</v>
      </c>
      <c r="K6" s="88" t="s">
        <v>33</v>
      </c>
      <c r="L6" s="88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110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51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87" t="s">
        <v>95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49" t="s">
        <v>18</v>
      </c>
      <c r="B17" s="5">
        <v>40</v>
      </c>
      <c r="C17" s="5" t="s">
        <v>50</v>
      </c>
    </row>
    <row r="18" spans="1:7" x14ac:dyDescent="0.2">
      <c r="A18" s="49" t="s">
        <v>17</v>
      </c>
      <c r="B18" s="5">
        <v>10</v>
      </c>
    </row>
    <row r="19" spans="1:7" x14ac:dyDescent="0.2">
      <c r="A19" s="49" t="s">
        <v>110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C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2024-09-23T14:04:05Z</dcterms:modified>
</cp:coreProperties>
</file>