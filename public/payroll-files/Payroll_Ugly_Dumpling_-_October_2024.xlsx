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4/"/>
    </mc:Choice>
  </mc:AlternateContent>
  <xr:revisionPtr revIDLastSave="0" documentId="13_ncr:1_{1F219112-276B-6A4B-B2A4-5602A59D5844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Summary " sheetId="3" r:id="rId1"/>
    <sheet name="Timesheet " sheetId="9" r:id="rId2"/>
    <sheet name="Holiday notes " sheetId="2" r:id="rId3"/>
    <sheet name="Starter checklist " sheetId="4" r:id="rId4"/>
    <sheet name="Dumpling Bonus " sheetId="6" r:id="rId5"/>
    <sheet name="new" sheetId="8" r:id="rId6"/>
  </sheets>
  <definedNames>
    <definedName name="_xlnm.Print_Area" localSheetId="2">'Holiday notes '!$B$4:$G$15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0" i="9" l="1"/>
  <c r="K49" i="9"/>
  <c r="I40" i="9"/>
  <c r="G10" i="2"/>
  <c r="G9" i="2"/>
  <c r="G8" i="2"/>
  <c r="J52" i="9"/>
  <c r="K47" i="9"/>
  <c r="K48" i="9"/>
  <c r="K51" i="9"/>
  <c r="K28" i="9"/>
  <c r="K29" i="9"/>
  <c r="K30" i="9"/>
  <c r="K31" i="9"/>
  <c r="K32" i="9"/>
  <c r="K33" i="9"/>
  <c r="K34" i="9"/>
  <c r="K36" i="9"/>
  <c r="K37" i="9"/>
  <c r="K38" i="9"/>
  <c r="K39" i="9"/>
  <c r="K40" i="9"/>
  <c r="K41" i="9"/>
  <c r="K42" i="9"/>
  <c r="K43" i="9"/>
  <c r="K44" i="9"/>
  <c r="K45" i="9"/>
  <c r="K27" i="9"/>
  <c r="K8" i="9"/>
  <c r="K9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7" i="9"/>
  <c r="K35" i="9"/>
  <c r="G9" i="6" l="1"/>
  <c r="G8" i="6"/>
  <c r="H8" i="6" s="1"/>
  <c r="I8" i="6" s="1"/>
  <c r="J8" i="6" s="1"/>
  <c r="K8" i="6" s="1"/>
  <c r="F8" i="6"/>
  <c r="L8" i="6"/>
  <c r="L9" i="6"/>
  <c r="H9" i="6"/>
  <c r="I9" i="6" s="1"/>
  <c r="J9" i="6" s="1"/>
  <c r="K9" i="6" s="1"/>
  <c r="F9" i="6"/>
  <c r="F52" i="9" l="1"/>
  <c r="B4" i="3" l="1"/>
  <c r="H52" i="9"/>
  <c r="K46" i="9"/>
  <c r="D7" i="6"/>
  <c r="D9" i="6"/>
  <c r="K52" i="9" l="1"/>
  <c r="C7" i="3" s="1"/>
  <c r="B24" i="6" l="1"/>
  <c r="F28" i="6" l="1"/>
  <c r="E26" i="6"/>
  <c r="F27" i="6" s="1"/>
  <c r="G27" i="6" s="1"/>
  <c r="G13" i="2" l="1"/>
  <c r="C9" i="3" s="1"/>
  <c r="L7" i="6" l="1"/>
  <c r="F7" i="6" l="1"/>
  <c r="G7" i="6" l="1"/>
  <c r="H7" i="6" l="1"/>
  <c r="I7" i="6" l="1"/>
  <c r="J7" i="6" s="1"/>
  <c r="I52" i="9" l="1"/>
  <c r="C8" i="3" s="1"/>
  <c r="C10" i="3" l="1"/>
  <c r="K7" i="6"/>
</calcChain>
</file>

<file path=xl/sharedStrings.xml><?xml version="1.0" encoding="utf-8"?>
<sst xmlns="http://schemas.openxmlformats.org/spreadsheetml/2006/main" count="190" uniqueCount="170">
  <si>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</si>
  <si>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</si>
  <si>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</si>
  <si>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</si>
  <si>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</si>
  <si>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</si>
  <si>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</si>
  <si>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 xml:space="preserve">TOTAL </t>
  </si>
  <si>
    <t xml:space="preserve">TOTAL PAYROLL </t>
  </si>
  <si>
    <t>Sort Code</t>
  </si>
  <si>
    <t xml:space="preserve">Nationality </t>
  </si>
  <si>
    <t xml:space="preserve">Lissette </t>
  </si>
  <si>
    <t xml:space="preserve">Setlment status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</si>
  <si>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</si>
  <si>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</si>
  <si>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</si>
  <si>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</si>
  <si>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</si>
  <si>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</si>
  <si>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</si>
  <si>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</si>
  <si>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</si>
  <si>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</si>
  <si>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</si>
  <si>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</si>
  <si>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</si>
  <si>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</si>
  <si>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</si>
  <si>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</si>
  <si>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hours after bonus </t>
  </si>
  <si>
    <t xml:space="preserve">Ling </t>
  </si>
  <si>
    <t>Chak</t>
  </si>
  <si>
    <t>NINo</t>
  </si>
  <si>
    <t xml:space="preserve">bonus per hour </t>
  </si>
  <si>
    <t xml:space="preserve">STATUS </t>
  </si>
  <si>
    <t>Passaport nb</t>
  </si>
  <si>
    <t xml:space="preserve">Matos </t>
  </si>
  <si>
    <t xml:space="preserve">Ramos </t>
  </si>
  <si>
    <t xml:space="preserve">Rahim </t>
  </si>
  <si>
    <t xml:space="preserve">Setareh </t>
  </si>
  <si>
    <t xml:space="preserve">Saeedfar </t>
  </si>
  <si>
    <t xml:space="preserve">Endea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</si>
  <si>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</si>
  <si>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</si>
  <si>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</si>
  <si>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</si>
  <si>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</si>
  <si>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</si>
  <si>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</si>
  <si>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Bank Account N</t>
  </si>
  <si>
    <t>hours</t>
  </si>
  <si>
    <t xml:space="preserve"> </t>
  </si>
  <si>
    <t>§</t>
  </si>
  <si>
    <t xml:space="preserve"> Sharing Code</t>
  </si>
  <si>
    <t xml:space="preserve">Luisa </t>
  </si>
  <si>
    <t xml:space="preserve">Valenzuela </t>
  </si>
  <si>
    <t xml:space="preserve">David </t>
  </si>
  <si>
    <t>Ada</t>
  </si>
  <si>
    <t xml:space="preserve">Heidy </t>
  </si>
  <si>
    <t xml:space="preserve">Surname </t>
  </si>
  <si>
    <t xml:space="preserve">Forename </t>
  </si>
  <si>
    <t xml:space="preserve">H. Rate </t>
  </si>
  <si>
    <t xml:space="preserve">Timesheet </t>
  </si>
  <si>
    <t xml:space="preserve">Pay </t>
  </si>
  <si>
    <t xml:space="preserve">S. C. </t>
  </si>
  <si>
    <t xml:space="preserve">Sp. Bonus </t>
  </si>
  <si>
    <t xml:space="preserve">Paredes </t>
  </si>
  <si>
    <t xml:space="preserve">Tamar </t>
  </si>
  <si>
    <t xml:space="preserve">Department </t>
  </si>
  <si>
    <t>Rios</t>
  </si>
  <si>
    <t xml:space="preserve">Feliz </t>
  </si>
  <si>
    <t xml:space="preserve">Jhuli </t>
  </si>
  <si>
    <t xml:space="preserve">Vallejos </t>
  </si>
  <si>
    <t xml:space="preserve">Rios </t>
  </si>
  <si>
    <t xml:space="preserve">Stratcham </t>
  </si>
  <si>
    <t xml:space="preserve">BOH </t>
  </si>
  <si>
    <t>Anny</t>
  </si>
  <si>
    <t xml:space="preserve">Hafiz </t>
  </si>
  <si>
    <t xml:space="preserve">Akshay </t>
  </si>
  <si>
    <t xml:space="preserve">Mathew </t>
  </si>
  <si>
    <t>Oil Lan</t>
  </si>
  <si>
    <t xml:space="preserve">FOH </t>
  </si>
  <si>
    <t xml:space="preserve">Total </t>
  </si>
  <si>
    <t xml:space="preserve">Starters </t>
  </si>
  <si>
    <t xml:space="preserve">Status </t>
  </si>
  <si>
    <t xml:space="preserve">Notes </t>
  </si>
  <si>
    <t xml:space="preserve">Arisnorky </t>
  </si>
  <si>
    <t xml:space="preserve">UGLY DUMPLING </t>
  </si>
  <si>
    <t xml:space="preserve">Payroll period </t>
  </si>
  <si>
    <t xml:space="preserve">HOLIDAYS </t>
  </si>
  <si>
    <t xml:space="preserve">TIMESHEET </t>
  </si>
  <si>
    <t>Ref.:</t>
  </si>
  <si>
    <t>Saicharan</t>
  </si>
  <si>
    <t>Manepalli</t>
  </si>
  <si>
    <t xml:space="preserve">Jhulia </t>
  </si>
  <si>
    <t xml:space="preserve">Galicia </t>
  </si>
  <si>
    <t>CPK</t>
  </si>
  <si>
    <t xml:space="preserve">Olivia </t>
  </si>
  <si>
    <t>Maschio</t>
  </si>
  <si>
    <t xml:space="preserve">Sreeja </t>
  </si>
  <si>
    <t>Vadlapudi</t>
  </si>
  <si>
    <t xml:space="preserve">Olga </t>
  </si>
  <si>
    <t xml:space="preserve">Quilumba </t>
  </si>
  <si>
    <t xml:space="preserve">Leaver </t>
  </si>
  <si>
    <t>Kitty</t>
  </si>
  <si>
    <t xml:space="preserve">Fatima </t>
  </si>
  <si>
    <t xml:space="preserve">Ashraf </t>
  </si>
  <si>
    <t xml:space="preserve">Resid. Permit </t>
  </si>
  <si>
    <t xml:space="preserve">Starter </t>
  </si>
  <si>
    <t>Arun</t>
  </si>
  <si>
    <t xml:space="preserve">Thota </t>
  </si>
  <si>
    <t xml:space="preserve">starter </t>
  </si>
  <si>
    <t>starter</t>
  </si>
  <si>
    <t xml:space="preserve">leaver </t>
  </si>
  <si>
    <t xml:space="preserve">Rithwik </t>
  </si>
  <si>
    <t>Godishala</t>
  </si>
  <si>
    <t xml:space="preserve">Eliana </t>
  </si>
  <si>
    <t xml:space="preserve">Sebastian </t>
  </si>
  <si>
    <t xml:space="preserve">Gus </t>
  </si>
  <si>
    <t xml:space="preserve">Maria </t>
  </si>
  <si>
    <t xml:space="preserve">Yariel </t>
  </si>
  <si>
    <t xml:space="preserve">Kavi </t>
  </si>
  <si>
    <t xml:space="preserve">Brickman </t>
  </si>
  <si>
    <t>Jody Samantha</t>
  </si>
  <si>
    <t xml:space="preserve">Gumery </t>
  </si>
  <si>
    <t>Sanghani</t>
  </si>
  <si>
    <t xml:space="preserve">Yagual Herrera </t>
  </si>
  <si>
    <t xml:space="preserve">Kim </t>
  </si>
  <si>
    <t xml:space="preserve">Aglupos </t>
  </si>
  <si>
    <t xml:space="preserve">Chloe </t>
  </si>
  <si>
    <t>kazumi</t>
  </si>
  <si>
    <t xml:space="preserve">Fred </t>
  </si>
  <si>
    <t xml:space="preserve">Lois </t>
  </si>
  <si>
    <t xml:space="preserve">Sally </t>
  </si>
  <si>
    <t>Ortega</t>
  </si>
  <si>
    <t xml:space="preserve">Sally Poh Ray </t>
  </si>
  <si>
    <t>Sano Lee</t>
  </si>
  <si>
    <t xml:space="preserve">Vary </t>
  </si>
  <si>
    <t>Kenzo</t>
  </si>
  <si>
    <t xml:space="preserve">Booker </t>
  </si>
  <si>
    <t xml:space="preserve">Hannah  </t>
  </si>
  <si>
    <t xml:space="preserve">Manning </t>
  </si>
  <si>
    <t xml:space="preserve">Jie En </t>
  </si>
  <si>
    <t xml:space="preserve">Loh </t>
  </si>
  <si>
    <t xml:space="preserve">Kazumi </t>
  </si>
  <si>
    <t>Hannah</t>
  </si>
  <si>
    <t xml:space="preserve">Jie En Loh </t>
  </si>
  <si>
    <t>TH113419D</t>
  </si>
  <si>
    <t>PJ542741B</t>
  </si>
  <si>
    <t>14675021</t>
  </si>
  <si>
    <t>PG690495D</t>
  </si>
  <si>
    <t>21420739</t>
  </si>
  <si>
    <t>PJ714562C</t>
  </si>
  <si>
    <t>11668769</t>
  </si>
  <si>
    <t>11821822</t>
  </si>
  <si>
    <t>PH098053B</t>
  </si>
  <si>
    <t>19449685</t>
  </si>
  <si>
    <t>090129</t>
  </si>
  <si>
    <t xml:space="preserve">Orlando </t>
  </si>
  <si>
    <t>PK193747D</t>
  </si>
  <si>
    <t xml:space="preserve">Graziosi </t>
  </si>
  <si>
    <t>Cook</t>
  </si>
  <si>
    <t xml:space="preserve">starter &amp; leaver </t>
  </si>
  <si>
    <t xml:space="preserve">Molly </t>
  </si>
  <si>
    <t>Adriana</t>
  </si>
  <si>
    <t>already advanced (please add half thi payroll )</t>
  </si>
  <si>
    <t>SC increase to 1.50</t>
  </si>
  <si>
    <t>SC increase to 2</t>
  </si>
  <si>
    <t xml:space="preserve">SC increse to 1 </t>
  </si>
  <si>
    <t>23/09 to 20/ October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</si>
</sst>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 (Body)"/>
    </font>
    <font>
      <sz val="10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/>
    <xf numFmtId="0" fontId="5" fillId="2" borderId="1" xfId="0" applyFont="1" applyFill="1" applyBorder="1"/>
    <xf numFmtId="0" fontId="9" fillId="2" borderId="0" xfId="0" applyFont="1" applyFill="1"/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65" fontId="5" fillId="2" borderId="0" xfId="0" applyNumberFormat="1" applyFont="1" applyFill="1" applyBorder="1"/>
    <xf numFmtId="167" fontId="9" fillId="2" borderId="0" xfId="0" applyNumberFormat="1" applyFont="1" applyFill="1"/>
    <xf numFmtId="0" fontId="10" fillId="2" borderId="1" xfId="0" applyFont="1" applyFill="1" applyBorder="1"/>
    <xf numFmtId="9" fontId="11" fillId="2" borderId="0" xfId="79" applyFont="1" applyFill="1"/>
    <xf numFmtId="0" fontId="8" fillId="2" borderId="0" xfId="0" applyFont="1" applyFill="1" applyBorder="1" applyAlignment="1">
      <alignment horizontal="left" vertical="center"/>
    </xf>
    <xf numFmtId="165" fontId="8" fillId="2" borderId="0" xfId="78" applyNumberFormat="1" applyFont="1" applyFill="1" applyBorder="1" applyAlignment="1">
      <alignment vertical="center"/>
    </xf>
    <xf numFmtId="164" fontId="7" fillId="2" borderId="0" xfId="78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67" fontId="10" fillId="4" borderId="1" xfId="0" applyNumberFormat="1" applyFont="1" applyFill="1" applyBorder="1"/>
    <xf numFmtId="0" fontId="4" fillId="2" borderId="0" xfId="0" applyFont="1" applyFill="1" applyBorder="1"/>
    <xf numFmtId="0" fontId="9" fillId="2" borderId="0" xfId="0" applyFont="1" applyFill="1" applyBorder="1"/>
    <xf numFmtId="165" fontId="9" fillId="2" borderId="0" xfId="0" applyNumberFormat="1" applyFont="1" applyFill="1"/>
    <xf numFmtId="0" fontId="13" fillId="2" borderId="0" xfId="0" applyFont="1" applyFill="1" applyBorder="1"/>
    <xf numFmtId="164" fontId="7" fillId="2" borderId="1" xfId="78" applyFont="1" applyFill="1" applyBorder="1" applyAlignment="1">
      <alignment horizontal="center" vertical="center"/>
    </xf>
    <xf numFmtId="165" fontId="10" fillId="2" borderId="0" xfId="0" applyNumberFormat="1" applyFont="1" applyFill="1"/>
    <xf numFmtId="10" fontId="11" fillId="2" borderId="0" xfId="79" applyNumberFormat="1" applyFont="1" applyFill="1"/>
    <xf numFmtId="165" fontId="14" fillId="2" borderId="0" xfId="0" applyNumberFormat="1" applyFont="1" applyFill="1"/>
    <xf numFmtId="0" fontId="14" fillId="2" borderId="0" xfId="0" applyFont="1" applyFill="1"/>
    <xf numFmtId="0" fontId="8" fillId="2" borderId="0" xfId="0" applyNumberFormat="1" applyFont="1" applyFill="1" applyBorder="1" applyAlignment="1">
      <alignment horizontal="center" vertical="center"/>
    </xf>
    <xf numFmtId="44" fontId="12" fillId="2" borderId="0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2" borderId="20" xfId="0" applyFont="1" applyFill="1" applyBorder="1" applyAlignment="1">
      <alignment horizontal="center" vertical="center"/>
    </xf>
    <xf numFmtId="165" fontId="9" fillId="2" borderId="10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165" fontId="9" fillId="5" borderId="0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165" fontId="15" fillId="5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/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9" fillId="7" borderId="22" xfId="0" applyFont="1" applyFill="1" applyBorder="1"/>
    <xf numFmtId="0" fontId="10" fillId="7" borderId="22" xfId="0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166" fontId="9" fillId="2" borderId="0" xfId="0" applyNumberFormat="1" applyFont="1" applyFill="1" applyAlignment="1">
      <alignment horizontal="right"/>
    </xf>
    <xf numFmtId="0" fontId="9" fillId="2" borderId="3" xfId="0" applyFont="1" applyFill="1" applyBorder="1"/>
    <xf numFmtId="0" fontId="9" fillId="2" borderId="4" xfId="0" applyFont="1" applyFill="1" applyBorder="1"/>
    <xf numFmtId="0" fontId="10" fillId="2" borderId="3" xfId="0" applyFont="1" applyFill="1" applyBorder="1"/>
    <xf numFmtId="0" fontId="4" fillId="2" borderId="0" xfId="0" applyFont="1" applyFill="1" applyBorder="1" applyAlignment="1"/>
    <xf numFmtId="49" fontId="4" fillId="2" borderId="0" xfId="0" applyNumberFormat="1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4" fillId="2" borderId="4" xfId="0" applyFont="1" applyFill="1" applyBorder="1"/>
    <xf numFmtId="0" fontId="13" fillId="3" borderId="0" xfId="0" applyFont="1" applyFill="1" applyBorder="1"/>
    <xf numFmtId="49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0" fontId="4" fillId="3" borderId="0" xfId="0" applyFont="1" applyFill="1" applyBorder="1"/>
    <xf numFmtId="49" fontId="4" fillId="2" borderId="0" xfId="0" applyNumberFormat="1" applyFont="1" applyFill="1" applyBorder="1" applyAlignment="1">
      <alignment horizontal="left" vertical="top"/>
    </xf>
    <xf numFmtId="1" fontId="4" fillId="2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/>
    <xf numFmtId="49" fontId="4" fillId="3" borderId="0" xfId="0" applyNumberFormat="1" applyFont="1" applyFill="1" applyBorder="1" applyAlignment="1">
      <alignment horizontal="left" vertical="top"/>
    </xf>
    <xf numFmtId="0" fontId="9" fillId="2" borderId="0" xfId="0" applyFont="1" applyFill="1" applyAlignment="1">
      <alignment horizontal="left"/>
    </xf>
    <xf numFmtId="2" fontId="4" fillId="2" borderId="0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9" fillId="3" borderId="0" xfId="0" applyFont="1" applyFill="1" applyBorder="1"/>
    <xf numFmtId="0" fontId="9" fillId="2" borderId="0" xfId="0" quotePrefix="1" applyFont="1" applyFill="1" applyBorder="1" applyAlignment="1">
      <alignment horizontal="left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13" fillId="2" borderId="0" xfId="0" applyFont="1" applyFill="1"/>
    <xf numFmtId="49" fontId="9" fillId="2" borderId="0" xfId="0" applyNumberFormat="1" applyFont="1" applyFill="1" applyAlignment="1">
      <alignment horizontal="left"/>
    </xf>
    <xf numFmtId="0" fontId="10" fillId="7" borderId="2" xfId="0" applyFont="1" applyFill="1" applyBorder="1"/>
    <xf numFmtId="0" fontId="17" fillId="2" borderId="0" xfId="0" applyFont="1" applyFill="1"/>
    <xf numFmtId="0" fontId="9" fillId="2" borderId="22" xfId="0" applyFont="1" applyFill="1" applyBorder="1"/>
    <xf numFmtId="167" fontId="0" fillId="2" borderId="0" xfId="0" applyNumberFormat="1" applyFill="1"/>
    <xf numFmtId="0" fontId="8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horizontal="right" vertical="center"/>
    </xf>
    <xf numFmtId="165" fontId="14" fillId="5" borderId="0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9" fillId="2" borderId="10" xfId="0" applyNumberFormat="1" applyFont="1" applyFill="1" applyBorder="1" applyAlignment="1">
      <alignment horizontal="center" vertical="center"/>
    </xf>
    <xf numFmtId="0" fontId="9" fillId="5" borderId="0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/>
    </xf>
    <xf numFmtId="0" fontId="9" fillId="2" borderId="0" xfId="78" applyNumberFormat="1" applyFont="1" applyFill="1" applyBorder="1" applyAlignment="1">
      <alignment horizontal="center" vertical="center"/>
    </xf>
    <xf numFmtId="0" fontId="9" fillId="5" borderId="0" xfId="78" applyNumberFormat="1" applyFont="1" applyFill="1" applyBorder="1" applyAlignment="1">
      <alignment horizontal="center" vertical="center"/>
    </xf>
    <xf numFmtId="165" fontId="14" fillId="2" borderId="0" xfId="0" applyNumberFormat="1" applyFont="1" applyFill="1" applyBorder="1" applyAlignment="1">
      <alignment horizontal="center" vertical="center"/>
    </xf>
    <xf numFmtId="165" fontId="9" fillId="6" borderId="15" xfId="0" applyNumberFormat="1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165" fontId="9" fillId="5" borderId="24" xfId="0" applyNumberFormat="1" applyFont="1" applyFill="1" applyBorder="1" applyAlignment="1">
      <alignment horizontal="center" vertical="center"/>
    </xf>
    <xf numFmtId="0" fontId="9" fillId="5" borderId="24" xfId="0" applyNumberFormat="1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left" vertical="center"/>
    </xf>
    <xf numFmtId="0" fontId="9" fillId="5" borderId="27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left" vertical="center"/>
    </xf>
    <xf numFmtId="0" fontId="9" fillId="2" borderId="29" xfId="0" applyFont="1" applyFill="1" applyBorder="1" applyAlignment="1">
      <alignment horizontal="left" vertical="center"/>
    </xf>
    <xf numFmtId="165" fontId="9" fillId="2" borderId="29" xfId="0" applyNumberFormat="1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5" borderId="24" xfId="78" applyNumberFormat="1" applyFont="1" applyFill="1" applyBorder="1" applyAlignment="1">
      <alignment horizontal="center" vertical="center"/>
    </xf>
    <xf numFmtId="0" fontId="9" fillId="2" borderId="29" xfId="78" applyNumberFormat="1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left" vertical="center"/>
    </xf>
    <xf numFmtId="0" fontId="9" fillId="5" borderId="29" xfId="0" applyFont="1" applyFill="1" applyBorder="1" applyAlignment="1">
      <alignment horizontal="left" vertical="center"/>
    </xf>
    <xf numFmtId="165" fontId="9" fillId="5" borderId="29" xfId="0" applyNumberFormat="1" applyFont="1" applyFill="1" applyBorder="1" applyAlignment="1">
      <alignment horizontal="center" vertical="center"/>
    </xf>
    <xf numFmtId="0" fontId="9" fillId="5" borderId="29" xfId="0" applyNumberFormat="1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5</xdr:row>
      <xdr:rowOff>136800</xdr:rowOff>
    </xdr:from>
    <xdr:to>
      <xdr:col>3</xdr:col>
      <xdr:colOff>388980</xdr:colOff>
      <xdr:row>5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1"/>
  <sheetViews>
    <sheetView workbookViewId="0">
      <selection activeCell="E35" sqref="E35"/>
    </sheetView>
  </sheetViews>
  <sheetFormatPr baseColWidth="10" defaultColWidth="11" defaultRowHeight="16" x14ac:dyDescent="0.2"/>
  <cols>
    <col min="1" max="1" width="2" style="1" bestFit="1" customWidth="1"/>
    <col min="2" max="2" width="23.5" style="1" customWidth="1"/>
    <col min="3" max="3" width="27" style="1" customWidth="1"/>
    <col min="4" max="16384" width="11" style="1"/>
  </cols>
  <sheetData>
    <row r="4" spans="1:6" x14ac:dyDescent="0.2">
      <c r="A4" s="5"/>
      <c r="B4" s="1" t="str">
        <f>+'Timesheet '!B2</f>
        <v xml:space="preserve">UGLY DUMPLING </v>
      </c>
    </row>
    <row r="5" spans="1:6" x14ac:dyDescent="0.2">
      <c r="C5" s="12"/>
    </row>
    <row r="6" spans="1:6" ht="17" thickBot="1" x14ac:dyDescent="0.25">
      <c r="B6" s="53"/>
      <c r="C6" s="54" t="s">
        <v>7</v>
      </c>
    </row>
    <row r="7" spans="1:6" ht="17" thickTop="1" x14ac:dyDescent="0.2">
      <c r="B7" s="5" t="s">
        <v>90</v>
      </c>
      <c r="C7" s="10">
        <f>+'Timesheet '!K52</f>
        <v>54811.656099999986</v>
      </c>
    </row>
    <row r="8" spans="1:6" x14ac:dyDescent="0.2">
      <c r="B8" s="5" t="s">
        <v>46</v>
      </c>
      <c r="C8" s="10">
        <f>+'Timesheet '!I52+'Timesheet '!H52</f>
        <v>1753.2</v>
      </c>
    </row>
    <row r="9" spans="1:6" x14ac:dyDescent="0.2">
      <c r="B9" s="5" t="s">
        <v>89</v>
      </c>
      <c r="C9" s="10">
        <f>'Holiday notes '!G13</f>
        <v>2884.8</v>
      </c>
    </row>
    <row r="10" spans="1:6" ht="33" customHeight="1" thickBot="1" x14ac:dyDescent="0.25">
      <c r="B10" s="11" t="s">
        <v>8</v>
      </c>
      <c r="C10" s="17">
        <f>SUM(C7:C9)</f>
        <v>59449.656099999986</v>
      </c>
    </row>
    <row r="11" spans="1:6" ht="17" thickTop="1" x14ac:dyDescent="0.2">
      <c r="C11" s="89"/>
      <c r="F11" s="24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F329-354C-D44E-9E86-67584192A410}">
  <dimension ref="B2:L52"/>
  <sheetViews>
    <sheetView tabSelected="1" zoomScale="111" zoomScaleNormal="110" workbookViewId="0">
      <selection activeCell="F6" sqref="F6"/>
    </sheetView>
  </sheetViews>
  <sheetFormatPr baseColWidth="10" defaultRowHeight="14" x14ac:dyDescent="0.2"/>
  <cols>
    <col min="1" max="1" width="7.1640625" style="5" customWidth="1"/>
    <col min="2" max="3" width="11" style="5" bestFit="1" customWidth="1"/>
    <col min="4" max="4" width="11.6640625" style="5" bestFit="1" customWidth="1"/>
    <col min="5" max="5" width="15.1640625" style="5" bestFit="1" customWidth="1"/>
    <col min="6" max="6" width="9" style="5" bestFit="1" customWidth="1"/>
    <col min="7" max="7" width="6.6640625" style="5" bestFit="1" customWidth="1"/>
    <col min="8" max="8" width="10.33203125" style="5" bestFit="1" customWidth="1"/>
    <col min="9" max="9" width="9" style="5" bestFit="1" customWidth="1"/>
    <col min="10" max="10" width="9.6640625" style="5" bestFit="1" customWidth="1"/>
    <col min="11" max="11" width="11.5" style="5" bestFit="1" customWidth="1"/>
    <col min="12" max="12" width="48.83203125" style="5" customWidth="1"/>
    <col min="13" max="16384" width="10.83203125" style="5"/>
  </cols>
  <sheetData>
    <row r="2" spans="2:12" x14ac:dyDescent="0.2">
      <c r="B2" s="48" t="s">
        <v>87</v>
      </c>
      <c r="C2" s="19"/>
    </row>
    <row r="3" spans="2:12" x14ac:dyDescent="0.2">
      <c r="B3" s="49" t="s">
        <v>88</v>
      </c>
      <c r="C3" s="5" t="s">
        <v>169</v>
      </c>
    </row>
    <row r="4" spans="2:12" ht="15" thickBot="1" x14ac:dyDescent="0.25"/>
    <row r="5" spans="2:12" ht="3" customHeight="1" x14ac:dyDescent="0.2">
      <c r="B5" s="30"/>
      <c r="C5" s="31"/>
      <c r="D5" s="31"/>
      <c r="E5" s="31"/>
      <c r="F5" s="31"/>
      <c r="G5" s="31"/>
      <c r="H5" s="31"/>
      <c r="I5" s="31"/>
      <c r="J5" s="31"/>
      <c r="K5" s="31"/>
      <c r="L5" s="32"/>
    </row>
    <row r="6" spans="2:12" ht="29" customHeight="1" thickBot="1" x14ac:dyDescent="0.25">
      <c r="B6" s="50" t="s">
        <v>68</v>
      </c>
      <c r="C6" s="51" t="s">
        <v>84</v>
      </c>
      <c r="D6" s="51" t="s">
        <v>60</v>
      </c>
      <c r="E6" s="51" t="s">
        <v>59</v>
      </c>
      <c r="F6" s="51" t="s">
        <v>61</v>
      </c>
      <c r="G6" s="51" t="s">
        <v>64</v>
      </c>
      <c r="H6" s="51" t="s">
        <v>13</v>
      </c>
      <c r="I6" s="51" t="s">
        <v>65</v>
      </c>
      <c r="J6" s="51" t="s">
        <v>62</v>
      </c>
      <c r="K6" s="51" t="s">
        <v>63</v>
      </c>
      <c r="L6" s="52" t="s">
        <v>85</v>
      </c>
    </row>
    <row r="7" spans="2:12" ht="16" customHeight="1" x14ac:dyDescent="0.2">
      <c r="B7" s="93" t="s">
        <v>81</v>
      </c>
      <c r="C7" s="39"/>
      <c r="D7" s="36" t="s">
        <v>11</v>
      </c>
      <c r="E7" s="36" t="s">
        <v>66</v>
      </c>
      <c r="F7" s="40">
        <v>11.44</v>
      </c>
      <c r="G7" s="40">
        <v>4</v>
      </c>
      <c r="H7" s="40">
        <v>150</v>
      </c>
      <c r="I7" s="40"/>
      <c r="J7" s="100">
        <v>142.66999999999999</v>
      </c>
      <c r="K7" s="40">
        <f>+F7*J7+(G7*J7)+H7</f>
        <v>2352.8247999999999</v>
      </c>
      <c r="L7" s="41"/>
    </row>
    <row r="8" spans="2:12" x14ac:dyDescent="0.2">
      <c r="B8" s="94"/>
      <c r="C8" s="42"/>
      <c r="D8" s="37" t="s">
        <v>67</v>
      </c>
      <c r="E8" s="37" t="s">
        <v>69</v>
      </c>
      <c r="F8" s="43">
        <v>11.44</v>
      </c>
      <c r="G8" s="43">
        <v>2.5</v>
      </c>
      <c r="H8" s="43">
        <v>80</v>
      </c>
      <c r="I8" s="43"/>
      <c r="J8" s="101">
        <v>149.71</v>
      </c>
      <c r="K8" s="43">
        <f t="shared" ref="K8:K26" si="0">+F8*J8+(G8*J8)+H8</f>
        <v>2166.9573999999998</v>
      </c>
      <c r="L8" s="44"/>
    </row>
    <row r="9" spans="2:12" x14ac:dyDescent="0.2">
      <c r="B9" s="94"/>
      <c r="C9" s="42"/>
      <c r="D9" s="38" t="s">
        <v>42</v>
      </c>
      <c r="E9" s="38" t="s">
        <v>43</v>
      </c>
      <c r="F9" s="45">
        <v>10</v>
      </c>
      <c r="G9" s="45">
        <v>2</v>
      </c>
      <c r="H9" s="45">
        <v>80</v>
      </c>
      <c r="I9" s="45"/>
      <c r="J9" s="102">
        <v>117.63</v>
      </c>
      <c r="K9" s="45">
        <f t="shared" si="0"/>
        <v>1491.56</v>
      </c>
      <c r="L9" s="46"/>
    </row>
    <row r="10" spans="2:12" ht="7" customHeight="1" x14ac:dyDescent="0.2">
      <c r="B10" s="94"/>
      <c r="C10" s="42"/>
      <c r="D10" s="37"/>
      <c r="E10" s="37"/>
      <c r="F10" s="43"/>
      <c r="G10" s="43"/>
      <c r="H10" s="43"/>
      <c r="I10" s="43"/>
      <c r="J10" s="101"/>
      <c r="K10" s="43"/>
      <c r="L10" s="44"/>
    </row>
    <row r="11" spans="2:12" x14ac:dyDescent="0.2">
      <c r="B11" s="94"/>
      <c r="C11" s="42" t="s">
        <v>103</v>
      </c>
      <c r="D11" s="38" t="s">
        <v>56</v>
      </c>
      <c r="E11" s="38" t="s">
        <v>73</v>
      </c>
      <c r="F11" s="45">
        <v>11.5</v>
      </c>
      <c r="G11" s="45">
        <v>3.5</v>
      </c>
      <c r="H11" s="45">
        <v>130</v>
      </c>
      <c r="I11" s="45"/>
      <c r="J11" s="102">
        <v>170.01</v>
      </c>
      <c r="K11" s="45">
        <f t="shared" si="0"/>
        <v>2680.1499999999996</v>
      </c>
      <c r="L11" s="46"/>
    </row>
    <row r="12" spans="2:12" x14ac:dyDescent="0.2">
      <c r="B12" s="94"/>
      <c r="C12" s="42"/>
      <c r="D12" s="37" t="s">
        <v>47</v>
      </c>
      <c r="E12" s="37" t="s">
        <v>48</v>
      </c>
      <c r="F12" s="43">
        <v>11.42</v>
      </c>
      <c r="G12" s="43">
        <v>1</v>
      </c>
      <c r="H12" s="43">
        <v>100</v>
      </c>
      <c r="I12" s="43"/>
      <c r="J12" s="101">
        <v>136.94</v>
      </c>
      <c r="K12" s="43">
        <f t="shared" si="0"/>
        <v>1800.7948000000001</v>
      </c>
      <c r="L12" s="44"/>
    </row>
    <row r="13" spans="2:12" x14ac:dyDescent="0.2">
      <c r="B13" s="94"/>
      <c r="C13" s="42"/>
      <c r="D13" s="38" t="s">
        <v>41</v>
      </c>
      <c r="E13" s="38" t="s">
        <v>74</v>
      </c>
      <c r="F13" s="45">
        <v>11.44</v>
      </c>
      <c r="G13" s="45">
        <v>1</v>
      </c>
      <c r="H13" s="45">
        <v>50</v>
      </c>
      <c r="I13" s="45"/>
      <c r="J13" s="102">
        <v>113.69</v>
      </c>
      <c r="K13" s="45">
        <f t="shared" si="0"/>
        <v>1464.3036</v>
      </c>
      <c r="L13" s="46"/>
    </row>
    <row r="14" spans="2:12" x14ac:dyDescent="0.2">
      <c r="B14" s="94"/>
      <c r="C14" s="42" t="s">
        <v>103</v>
      </c>
      <c r="D14" s="37" t="s">
        <v>94</v>
      </c>
      <c r="E14" s="37" t="s">
        <v>95</v>
      </c>
      <c r="F14" s="43">
        <v>9.5</v>
      </c>
      <c r="G14" s="43">
        <v>0.5</v>
      </c>
      <c r="H14" s="43"/>
      <c r="I14" s="43"/>
      <c r="J14" s="101">
        <v>19.850000000000001</v>
      </c>
      <c r="K14" s="43">
        <f t="shared" si="0"/>
        <v>198.50000000000003</v>
      </c>
      <c r="L14" s="44"/>
    </row>
    <row r="15" spans="2:12" ht="15" customHeight="1" x14ac:dyDescent="0.2">
      <c r="B15" s="95"/>
      <c r="C15" s="42"/>
      <c r="D15" s="38" t="s">
        <v>97</v>
      </c>
      <c r="E15" s="38" t="s">
        <v>98</v>
      </c>
      <c r="F15" s="45">
        <v>11.44</v>
      </c>
      <c r="G15" s="45">
        <v>1</v>
      </c>
      <c r="H15" s="45"/>
      <c r="I15" s="45"/>
      <c r="J15" s="102">
        <v>117.84</v>
      </c>
      <c r="K15" s="45">
        <f t="shared" si="0"/>
        <v>1465.9295999999999</v>
      </c>
      <c r="L15" s="46" t="s">
        <v>168</v>
      </c>
    </row>
    <row r="16" spans="2:12" ht="15" customHeight="1" x14ac:dyDescent="0.2">
      <c r="B16" s="95"/>
      <c r="C16" s="42" t="s">
        <v>108</v>
      </c>
      <c r="D16" s="37" t="s">
        <v>129</v>
      </c>
      <c r="E16" s="37" t="s">
        <v>161</v>
      </c>
      <c r="F16" s="92">
        <v>13</v>
      </c>
      <c r="G16" s="43">
        <v>1.7</v>
      </c>
      <c r="H16" s="43"/>
      <c r="I16" s="43"/>
      <c r="J16" s="101">
        <v>103.03</v>
      </c>
      <c r="K16" s="43">
        <f t="shared" si="0"/>
        <v>1514.5410000000002</v>
      </c>
      <c r="L16" s="44"/>
    </row>
    <row r="17" spans="2:12" ht="15" customHeight="1" x14ac:dyDescent="0.2">
      <c r="B17" s="95"/>
      <c r="C17" s="42" t="s">
        <v>112</v>
      </c>
      <c r="D17" s="38" t="s">
        <v>130</v>
      </c>
      <c r="E17" s="38" t="s">
        <v>134</v>
      </c>
      <c r="F17" s="45">
        <v>10</v>
      </c>
      <c r="G17" s="45">
        <v>0.5</v>
      </c>
      <c r="H17" s="45"/>
      <c r="I17" s="45"/>
      <c r="J17" s="102">
        <v>18.61</v>
      </c>
      <c r="K17" s="45">
        <f t="shared" si="0"/>
        <v>195.405</v>
      </c>
      <c r="L17" s="46"/>
    </row>
    <row r="18" spans="2:12" ht="15" customHeight="1" x14ac:dyDescent="0.2">
      <c r="B18" s="95"/>
      <c r="C18" s="42"/>
      <c r="D18" s="37" t="s">
        <v>123</v>
      </c>
      <c r="E18" s="37" t="s">
        <v>122</v>
      </c>
      <c r="F18" s="43">
        <v>11.44</v>
      </c>
      <c r="G18" s="43">
        <v>0.56000000000000005</v>
      </c>
      <c r="H18" s="43"/>
      <c r="I18" s="43"/>
      <c r="J18" s="101">
        <v>95.07</v>
      </c>
      <c r="K18" s="43">
        <f t="shared" si="0"/>
        <v>1140.8399999999999</v>
      </c>
      <c r="L18" s="44"/>
    </row>
    <row r="19" spans="2:12" ht="15" customHeight="1" x14ac:dyDescent="0.2">
      <c r="B19" s="95"/>
      <c r="C19" s="42"/>
      <c r="D19" s="38" t="s">
        <v>118</v>
      </c>
      <c r="E19" s="38" t="s">
        <v>124</v>
      </c>
      <c r="F19" s="45">
        <v>10</v>
      </c>
      <c r="G19" s="45">
        <v>1.5</v>
      </c>
      <c r="H19" s="45"/>
      <c r="I19" s="45"/>
      <c r="J19" s="102">
        <v>93.07</v>
      </c>
      <c r="K19" s="45">
        <f t="shared" si="0"/>
        <v>1070.3049999999998</v>
      </c>
      <c r="L19" s="46"/>
    </row>
    <row r="20" spans="2:12" ht="15" customHeight="1" x14ac:dyDescent="0.2">
      <c r="B20" s="95"/>
      <c r="C20" s="42"/>
      <c r="D20" s="37" t="s">
        <v>131</v>
      </c>
      <c r="E20" s="37" t="s">
        <v>137</v>
      </c>
      <c r="F20" s="43">
        <v>11.44</v>
      </c>
      <c r="G20" s="43">
        <v>0.56000000000000005</v>
      </c>
      <c r="H20" s="43"/>
      <c r="I20" s="43"/>
      <c r="J20" s="101">
        <v>65.73</v>
      </c>
      <c r="K20" s="43">
        <f t="shared" si="0"/>
        <v>788.76</v>
      </c>
      <c r="L20" s="44"/>
    </row>
    <row r="21" spans="2:12" ht="15" customHeight="1" x14ac:dyDescent="0.2">
      <c r="B21" s="95"/>
      <c r="C21" s="42"/>
      <c r="D21" s="38" t="s">
        <v>121</v>
      </c>
      <c r="E21" s="38" t="s">
        <v>125</v>
      </c>
      <c r="F21" s="45">
        <v>9.5</v>
      </c>
      <c r="G21" s="45">
        <v>0.5</v>
      </c>
      <c r="H21" s="45"/>
      <c r="I21" s="45"/>
      <c r="J21" s="102">
        <v>75.430000000000007</v>
      </c>
      <c r="K21" s="45">
        <f t="shared" si="0"/>
        <v>754.30000000000007</v>
      </c>
      <c r="L21" s="46"/>
    </row>
    <row r="22" spans="2:12" ht="15" customHeight="1" x14ac:dyDescent="0.2">
      <c r="B22" s="95"/>
      <c r="C22" s="42"/>
      <c r="D22" s="37" t="s">
        <v>120</v>
      </c>
      <c r="E22" s="37" t="s">
        <v>126</v>
      </c>
      <c r="F22" s="43">
        <v>9</v>
      </c>
      <c r="G22" s="43">
        <v>0.5</v>
      </c>
      <c r="H22" s="43"/>
      <c r="I22" s="43"/>
      <c r="J22" s="101">
        <v>66.53</v>
      </c>
      <c r="K22" s="43">
        <f t="shared" si="0"/>
        <v>632.03499999999997</v>
      </c>
      <c r="L22" s="44"/>
    </row>
    <row r="23" spans="2:12" ht="15" customHeight="1" x14ac:dyDescent="0.2">
      <c r="B23" s="95"/>
      <c r="C23" s="42" t="s">
        <v>108</v>
      </c>
      <c r="D23" s="38" t="s">
        <v>132</v>
      </c>
      <c r="E23" s="38" t="s">
        <v>138</v>
      </c>
      <c r="F23" s="45">
        <v>11.44</v>
      </c>
      <c r="G23" s="45">
        <v>1</v>
      </c>
      <c r="H23" s="45"/>
      <c r="I23" s="45"/>
      <c r="J23" s="102">
        <v>19.690000000000001</v>
      </c>
      <c r="K23" s="45">
        <f t="shared" si="0"/>
        <v>244.9436</v>
      </c>
      <c r="L23" s="46"/>
    </row>
    <row r="24" spans="2:12" ht="15" customHeight="1" x14ac:dyDescent="0.2">
      <c r="B24" s="95"/>
      <c r="C24" s="42" t="s">
        <v>108</v>
      </c>
      <c r="D24" s="37" t="s">
        <v>135</v>
      </c>
      <c r="E24" s="37" t="s">
        <v>136</v>
      </c>
      <c r="F24" s="43">
        <v>11.44</v>
      </c>
      <c r="G24" s="43">
        <v>1</v>
      </c>
      <c r="H24" s="43"/>
      <c r="I24" s="43"/>
      <c r="J24" s="101">
        <v>68.38</v>
      </c>
      <c r="K24" s="43">
        <f t="shared" si="0"/>
        <v>850.64719999999988</v>
      </c>
      <c r="L24" s="44"/>
    </row>
    <row r="25" spans="2:12" ht="15" customHeight="1" x14ac:dyDescent="0.2">
      <c r="B25" s="95"/>
      <c r="C25" s="42"/>
      <c r="D25" s="38" t="s">
        <v>119</v>
      </c>
      <c r="E25" s="38"/>
      <c r="F25" s="45">
        <v>9.5</v>
      </c>
      <c r="G25" s="45"/>
      <c r="H25" s="45"/>
      <c r="I25" s="45"/>
      <c r="J25" s="102">
        <v>3</v>
      </c>
      <c r="K25" s="45">
        <f t="shared" si="0"/>
        <v>28.5</v>
      </c>
      <c r="L25" s="46"/>
    </row>
    <row r="26" spans="2:12" ht="15" thickBot="1" x14ac:dyDescent="0.25">
      <c r="B26" s="95"/>
      <c r="C26" s="42"/>
      <c r="D26" s="37"/>
      <c r="E26" s="37"/>
      <c r="F26" s="43"/>
      <c r="G26" s="43"/>
      <c r="H26" s="43"/>
      <c r="I26" s="43"/>
      <c r="J26" s="101"/>
      <c r="K26" s="43">
        <f t="shared" si="0"/>
        <v>0</v>
      </c>
      <c r="L26" s="44"/>
    </row>
    <row r="27" spans="2:12" x14ac:dyDescent="0.2">
      <c r="B27" s="93" t="s">
        <v>75</v>
      </c>
      <c r="C27" s="29"/>
      <c r="D27" s="107" t="s">
        <v>39</v>
      </c>
      <c r="E27" s="108" t="s">
        <v>40</v>
      </c>
      <c r="F27" s="109">
        <v>11.5</v>
      </c>
      <c r="G27" s="109">
        <v>2.25</v>
      </c>
      <c r="H27" s="109">
        <v>100</v>
      </c>
      <c r="I27" s="109"/>
      <c r="J27" s="110">
        <v>109.23</v>
      </c>
      <c r="K27" s="109">
        <f>+F27*J27+(G27*J27)+H27</f>
        <v>1601.9124999999999</v>
      </c>
      <c r="L27" s="111"/>
    </row>
    <row r="28" spans="2:12" x14ac:dyDescent="0.2">
      <c r="B28" s="94"/>
      <c r="C28" s="33"/>
      <c r="D28" s="112" t="s">
        <v>58</v>
      </c>
      <c r="E28" s="38" t="s">
        <v>37</v>
      </c>
      <c r="F28" s="45">
        <v>11.7</v>
      </c>
      <c r="G28" s="45">
        <v>2</v>
      </c>
      <c r="H28" s="45">
        <v>100</v>
      </c>
      <c r="I28" s="45"/>
      <c r="J28" s="102">
        <v>73.64</v>
      </c>
      <c r="K28" s="45">
        <f t="shared" ref="K28:K45" si="1">+F28*J28+(G28*J28)+H28</f>
        <v>1108.8679999999999</v>
      </c>
      <c r="L28" s="113"/>
    </row>
    <row r="29" spans="2:12" x14ac:dyDescent="0.2">
      <c r="B29" s="94"/>
      <c r="C29" s="33"/>
      <c r="D29" s="114" t="s">
        <v>57</v>
      </c>
      <c r="E29" s="37" t="s">
        <v>70</v>
      </c>
      <c r="F29" s="43">
        <v>11.44</v>
      </c>
      <c r="G29" s="43">
        <v>3</v>
      </c>
      <c r="H29" s="47">
        <v>80</v>
      </c>
      <c r="I29" s="43"/>
      <c r="J29" s="101">
        <v>100</v>
      </c>
      <c r="K29" s="43">
        <f t="shared" si="1"/>
        <v>1524</v>
      </c>
      <c r="L29" s="115"/>
    </row>
    <row r="30" spans="2:12" ht="17" customHeight="1" x14ac:dyDescent="0.2">
      <c r="B30" s="94"/>
      <c r="C30" s="33" t="s">
        <v>111</v>
      </c>
      <c r="D30" s="112" t="s">
        <v>163</v>
      </c>
      <c r="E30" s="38" t="s">
        <v>139</v>
      </c>
      <c r="F30" s="45"/>
      <c r="G30" s="45"/>
      <c r="H30" s="45"/>
      <c r="I30" s="45"/>
      <c r="J30" s="102">
        <v>49.58</v>
      </c>
      <c r="K30" s="45">
        <f t="shared" si="1"/>
        <v>0</v>
      </c>
      <c r="L30" s="113"/>
    </row>
    <row r="31" spans="2:12" x14ac:dyDescent="0.2">
      <c r="B31" s="94"/>
      <c r="C31" s="33"/>
      <c r="D31" s="114" t="s">
        <v>44</v>
      </c>
      <c r="E31" s="37" t="s">
        <v>45</v>
      </c>
      <c r="F31" s="43">
        <v>11.44</v>
      </c>
      <c r="G31" s="43">
        <v>2</v>
      </c>
      <c r="H31" s="43"/>
      <c r="I31" s="43"/>
      <c r="J31" s="101">
        <v>81.44</v>
      </c>
      <c r="K31" s="43">
        <f t="shared" si="1"/>
        <v>1094.5536</v>
      </c>
      <c r="L31" s="115" t="s">
        <v>167</v>
      </c>
    </row>
    <row r="32" spans="2:12" x14ac:dyDescent="0.2">
      <c r="B32" s="94"/>
      <c r="C32" s="33"/>
      <c r="D32" s="112" t="s">
        <v>76</v>
      </c>
      <c r="E32" s="38" t="s">
        <v>36</v>
      </c>
      <c r="F32" s="45">
        <v>11.44</v>
      </c>
      <c r="G32" s="45">
        <v>2</v>
      </c>
      <c r="H32" s="45"/>
      <c r="I32" s="45"/>
      <c r="J32" s="102">
        <v>73.67</v>
      </c>
      <c r="K32" s="45">
        <f t="shared" si="1"/>
        <v>990.12480000000005</v>
      </c>
      <c r="L32" s="113"/>
    </row>
    <row r="33" spans="2:12" x14ac:dyDescent="0.2">
      <c r="B33" s="94"/>
      <c r="C33" s="33"/>
      <c r="D33" s="114" t="s">
        <v>86</v>
      </c>
      <c r="E33" s="37" t="s">
        <v>70</v>
      </c>
      <c r="F33" s="43">
        <v>11.5</v>
      </c>
      <c r="G33" s="47">
        <v>2</v>
      </c>
      <c r="H33" s="43"/>
      <c r="I33" s="43"/>
      <c r="J33" s="101">
        <v>158.02000000000001</v>
      </c>
      <c r="K33" s="43">
        <f t="shared" si="1"/>
        <v>2133.27</v>
      </c>
      <c r="L33" s="115" t="s">
        <v>167</v>
      </c>
    </row>
    <row r="34" spans="2:12" x14ac:dyDescent="0.2">
      <c r="B34" s="94"/>
      <c r="C34" s="33"/>
      <c r="D34" s="112" t="s">
        <v>77</v>
      </c>
      <c r="E34" s="38" t="s">
        <v>38</v>
      </c>
      <c r="F34" s="45">
        <v>13.6</v>
      </c>
      <c r="G34" s="45"/>
      <c r="H34" s="45">
        <v>100</v>
      </c>
      <c r="I34" s="45"/>
      <c r="J34" s="102">
        <v>211.49</v>
      </c>
      <c r="K34" s="45">
        <f t="shared" si="1"/>
        <v>2976.2640000000001</v>
      </c>
      <c r="L34" s="113"/>
    </row>
    <row r="35" spans="2:12" x14ac:dyDescent="0.2">
      <c r="B35" s="94"/>
      <c r="C35" s="33" t="s">
        <v>108</v>
      </c>
      <c r="D35" s="114" t="s">
        <v>71</v>
      </c>
      <c r="E35" s="37" t="s">
        <v>72</v>
      </c>
      <c r="F35" s="43">
        <v>10</v>
      </c>
      <c r="G35" s="43">
        <v>0.5</v>
      </c>
      <c r="H35" s="43"/>
      <c r="I35" s="43"/>
      <c r="J35" s="101">
        <v>24.65</v>
      </c>
      <c r="K35" s="43">
        <f t="shared" si="1"/>
        <v>258.82499999999999</v>
      </c>
      <c r="L35" s="115"/>
    </row>
    <row r="36" spans="2:12" x14ac:dyDescent="0.2">
      <c r="B36" s="94"/>
      <c r="D36" s="112" t="s">
        <v>54</v>
      </c>
      <c r="E36" s="38" t="s">
        <v>55</v>
      </c>
      <c r="F36" s="45">
        <v>11.44</v>
      </c>
      <c r="G36" s="45">
        <v>1.5</v>
      </c>
      <c r="H36" s="45"/>
      <c r="I36" s="45"/>
      <c r="J36" s="102">
        <v>83.23</v>
      </c>
      <c r="K36" s="45">
        <f t="shared" si="1"/>
        <v>1076.9962</v>
      </c>
      <c r="L36" s="113" t="s">
        <v>166</v>
      </c>
    </row>
    <row r="37" spans="2:12" x14ac:dyDescent="0.2">
      <c r="B37" s="94"/>
      <c r="C37" s="33"/>
      <c r="D37" s="114" t="s">
        <v>78</v>
      </c>
      <c r="E37" s="37" t="s">
        <v>79</v>
      </c>
      <c r="F37" s="43">
        <v>11.44</v>
      </c>
      <c r="G37" s="43">
        <v>0.5</v>
      </c>
      <c r="H37" s="92"/>
      <c r="I37" s="92"/>
      <c r="J37" s="101">
        <v>128.59</v>
      </c>
      <c r="K37" s="43">
        <f t="shared" si="1"/>
        <v>1535.3646000000001</v>
      </c>
      <c r="L37" s="115"/>
    </row>
    <row r="38" spans="2:12" x14ac:dyDescent="0.2">
      <c r="B38" s="94"/>
      <c r="C38" s="33"/>
      <c r="D38" s="112" t="s">
        <v>99</v>
      </c>
      <c r="E38" s="38" t="s">
        <v>100</v>
      </c>
      <c r="F38" s="45">
        <v>11.5</v>
      </c>
      <c r="G38" s="45">
        <v>0.5</v>
      </c>
      <c r="H38" s="45"/>
      <c r="I38" s="45">
        <v>100</v>
      </c>
      <c r="J38" s="102">
        <v>222.04</v>
      </c>
      <c r="K38" s="45">
        <f t="shared" si="1"/>
        <v>2664.48</v>
      </c>
      <c r="L38" s="113"/>
    </row>
    <row r="39" spans="2:12" x14ac:dyDescent="0.2">
      <c r="B39" s="95"/>
      <c r="C39" s="33"/>
      <c r="D39" s="114" t="s">
        <v>101</v>
      </c>
      <c r="E39" s="37" t="s">
        <v>102</v>
      </c>
      <c r="F39" s="43">
        <v>11.44</v>
      </c>
      <c r="G39" s="43">
        <v>2</v>
      </c>
      <c r="H39" s="43"/>
      <c r="I39" s="43"/>
      <c r="J39" s="101">
        <v>121.56</v>
      </c>
      <c r="K39" s="43">
        <f t="shared" si="1"/>
        <v>1633.7664</v>
      </c>
      <c r="L39" s="115" t="s">
        <v>167</v>
      </c>
    </row>
    <row r="40" spans="2:12" x14ac:dyDescent="0.2">
      <c r="B40" s="95"/>
      <c r="D40" s="112" t="s">
        <v>109</v>
      </c>
      <c r="E40" s="38" t="s">
        <v>110</v>
      </c>
      <c r="F40" s="45">
        <v>11.44</v>
      </c>
      <c r="G40" s="45">
        <v>1</v>
      </c>
      <c r="H40" s="45"/>
      <c r="I40" s="105">
        <f>30*F40+30*G40</f>
        <v>373.2</v>
      </c>
      <c r="J40" s="102">
        <v>80</v>
      </c>
      <c r="K40" s="45">
        <f t="shared" si="1"/>
        <v>995.19999999999993</v>
      </c>
      <c r="L40" s="113"/>
    </row>
    <row r="41" spans="2:12" x14ac:dyDescent="0.2">
      <c r="B41" s="95"/>
      <c r="C41" s="33"/>
      <c r="D41" s="114" t="s">
        <v>114</v>
      </c>
      <c r="E41" s="37" t="s">
        <v>115</v>
      </c>
      <c r="F41" s="43">
        <v>11.5</v>
      </c>
      <c r="G41" s="43">
        <v>0.5</v>
      </c>
      <c r="H41" s="43"/>
      <c r="I41" s="43"/>
      <c r="J41" s="101">
        <v>56.53</v>
      </c>
      <c r="K41" s="43">
        <f t="shared" si="1"/>
        <v>678.36</v>
      </c>
      <c r="L41" s="115"/>
    </row>
    <row r="42" spans="2:12" x14ac:dyDescent="0.2">
      <c r="B42" s="95"/>
      <c r="C42" s="33" t="s">
        <v>162</v>
      </c>
      <c r="D42" s="112" t="s">
        <v>158</v>
      </c>
      <c r="E42" s="38" t="s">
        <v>160</v>
      </c>
      <c r="F42" s="45">
        <v>10</v>
      </c>
      <c r="G42" s="45">
        <v>0.5</v>
      </c>
      <c r="H42" s="45"/>
      <c r="I42" s="45"/>
      <c r="J42" s="102">
        <v>33.229999999999997</v>
      </c>
      <c r="K42" s="45">
        <f t="shared" si="1"/>
        <v>348.91499999999996</v>
      </c>
      <c r="L42" s="113"/>
    </row>
    <row r="43" spans="2:12" x14ac:dyDescent="0.2">
      <c r="B43" s="95"/>
      <c r="C43" s="33"/>
      <c r="D43" s="114" t="s">
        <v>127</v>
      </c>
      <c r="E43" s="37" t="s">
        <v>128</v>
      </c>
      <c r="F43" s="43">
        <v>9</v>
      </c>
      <c r="G43" s="43">
        <v>0.5</v>
      </c>
      <c r="H43" s="43"/>
      <c r="I43" s="43"/>
      <c r="J43" s="101">
        <v>47.33</v>
      </c>
      <c r="K43" s="43">
        <f t="shared" si="1"/>
        <v>449.63499999999999</v>
      </c>
      <c r="L43" s="115"/>
    </row>
    <row r="44" spans="2:12" x14ac:dyDescent="0.2">
      <c r="B44" s="95"/>
      <c r="C44" s="33" t="s">
        <v>113</v>
      </c>
      <c r="D44" s="112" t="s">
        <v>116</v>
      </c>
      <c r="E44" s="38" t="s">
        <v>117</v>
      </c>
      <c r="F44" s="45">
        <v>11.5</v>
      </c>
      <c r="G44" s="45">
        <v>0.5</v>
      </c>
      <c r="H44" s="45"/>
      <c r="I44" s="45"/>
      <c r="J44" s="102">
        <v>27.58</v>
      </c>
      <c r="K44" s="45">
        <f t="shared" si="1"/>
        <v>330.96</v>
      </c>
      <c r="L44" s="113"/>
    </row>
    <row r="45" spans="2:12" ht="15" thickBot="1" x14ac:dyDescent="0.25">
      <c r="B45" s="95"/>
      <c r="C45" s="33"/>
      <c r="D45" s="125" t="s">
        <v>92</v>
      </c>
      <c r="E45" s="126" t="s">
        <v>93</v>
      </c>
      <c r="F45" s="127">
        <v>13.6</v>
      </c>
      <c r="G45" s="127"/>
      <c r="H45" s="127">
        <v>100</v>
      </c>
      <c r="I45" s="127"/>
      <c r="J45" s="128">
        <v>211.51</v>
      </c>
      <c r="K45" s="127">
        <f t="shared" si="1"/>
        <v>2976.5359999999996</v>
      </c>
      <c r="L45" s="129"/>
    </row>
    <row r="46" spans="2:12" x14ac:dyDescent="0.2">
      <c r="B46" s="93" t="s">
        <v>96</v>
      </c>
      <c r="C46" s="29"/>
      <c r="D46" s="107" t="s">
        <v>105</v>
      </c>
      <c r="E46" s="108" t="s">
        <v>106</v>
      </c>
      <c r="F46" s="109">
        <v>11.44</v>
      </c>
      <c r="G46" s="109"/>
      <c r="H46" s="109">
        <v>50</v>
      </c>
      <c r="I46" s="109"/>
      <c r="J46" s="123">
        <v>80</v>
      </c>
      <c r="K46" s="109">
        <f t="shared" ref="K46:K51" si="2">+F46*J46+(G46*J46)+H46</f>
        <v>965.19999999999993</v>
      </c>
      <c r="L46" s="111"/>
    </row>
    <row r="47" spans="2:12" x14ac:dyDescent="0.2">
      <c r="B47" s="94"/>
      <c r="C47" s="33"/>
      <c r="D47" s="112" t="s">
        <v>28</v>
      </c>
      <c r="E47" s="38" t="s">
        <v>80</v>
      </c>
      <c r="F47" s="45">
        <v>11.44</v>
      </c>
      <c r="G47" s="45"/>
      <c r="H47" s="45"/>
      <c r="I47" s="45">
        <v>80</v>
      </c>
      <c r="J47" s="103">
        <v>208.49</v>
      </c>
      <c r="K47" s="45">
        <f t="shared" si="2"/>
        <v>2385.1255999999998</v>
      </c>
      <c r="L47" s="113"/>
    </row>
    <row r="48" spans="2:12" x14ac:dyDescent="0.2">
      <c r="B48" s="94"/>
      <c r="C48" s="33"/>
      <c r="D48" s="114" t="s">
        <v>30</v>
      </c>
      <c r="E48" s="37" t="s">
        <v>31</v>
      </c>
      <c r="F48" s="43">
        <v>11.44</v>
      </c>
      <c r="G48" s="43"/>
      <c r="H48" s="43"/>
      <c r="I48" s="43">
        <v>80</v>
      </c>
      <c r="J48" s="104">
        <v>222.96</v>
      </c>
      <c r="K48" s="43">
        <f t="shared" si="2"/>
        <v>2550.6624000000002</v>
      </c>
      <c r="L48" s="115"/>
    </row>
    <row r="49" spans="2:12" x14ac:dyDescent="0.2">
      <c r="B49" s="95"/>
      <c r="C49" s="33" t="s">
        <v>108</v>
      </c>
      <c r="D49" s="112" t="s">
        <v>140</v>
      </c>
      <c r="E49" s="38" t="s">
        <v>141</v>
      </c>
      <c r="F49" s="45">
        <v>9.5</v>
      </c>
      <c r="G49" s="45">
        <v>0.5</v>
      </c>
      <c r="H49" s="45"/>
      <c r="I49" s="45"/>
      <c r="J49" s="103">
        <v>87.92</v>
      </c>
      <c r="K49" s="45">
        <f>+J49*F49+J49*G49</f>
        <v>879.2</v>
      </c>
      <c r="L49" s="113"/>
    </row>
    <row r="50" spans="2:12" x14ac:dyDescent="0.2">
      <c r="B50" s="95"/>
      <c r="C50" s="33" t="s">
        <v>112</v>
      </c>
      <c r="D50" s="114" t="s">
        <v>142</v>
      </c>
      <c r="E50" s="37" t="s">
        <v>143</v>
      </c>
      <c r="F50" s="43">
        <v>8</v>
      </c>
      <c r="G50" s="43">
        <v>1</v>
      </c>
      <c r="H50" s="43"/>
      <c r="I50" s="43"/>
      <c r="J50" s="104">
        <v>10</v>
      </c>
      <c r="K50" s="43">
        <f>+J50*F50+J50*G50</f>
        <v>90</v>
      </c>
      <c r="L50" s="115"/>
    </row>
    <row r="51" spans="2:12" ht="15" thickBot="1" x14ac:dyDescent="0.25">
      <c r="B51" s="96"/>
      <c r="C51" s="34"/>
      <c r="D51" s="116" t="s">
        <v>14</v>
      </c>
      <c r="E51" s="117" t="s">
        <v>14</v>
      </c>
      <c r="F51" s="118">
        <v>11.5</v>
      </c>
      <c r="G51" s="118">
        <v>2</v>
      </c>
      <c r="H51" s="118"/>
      <c r="I51" s="118"/>
      <c r="J51" s="124">
        <v>201.64</v>
      </c>
      <c r="K51" s="118">
        <f t="shared" si="2"/>
        <v>2722.1399999999994</v>
      </c>
      <c r="L51" s="119"/>
    </row>
    <row r="52" spans="2:12" ht="26" customHeight="1" thickBot="1" x14ac:dyDescent="0.25">
      <c r="B52" s="97" t="s">
        <v>82</v>
      </c>
      <c r="C52" s="98"/>
      <c r="D52" s="120"/>
      <c r="E52" s="121"/>
      <c r="F52" s="106">
        <f>+AVERAGE(F7:F51)</f>
        <v>11.041428571428572</v>
      </c>
      <c r="G52" s="121"/>
      <c r="H52" s="106">
        <f>+SUM(H7:H51)</f>
        <v>1120</v>
      </c>
      <c r="I52" s="121">
        <f>+SUM(I7:I51)</f>
        <v>633.20000000000005</v>
      </c>
      <c r="J52" s="121">
        <f>+SUM(J7:J51)</f>
        <v>4281.21</v>
      </c>
      <c r="K52" s="106">
        <f>+SUM(K7:K51)</f>
        <v>54811.656099999986</v>
      </c>
      <c r="L52" s="122"/>
    </row>
  </sheetData>
  <mergeCells count="4">
    <mergeCell ref="B7:B26"/>
    <mergeCell ref="B27:B45"/>
    <mergeCell ref="B46:B51"/>
    <mergeCell ref="B52:C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J15"/>
  <sheetViews>
    <sheetView workbookViewId="0">
      <selection activeCell="I7" sqref="I7"/>
    </sheetView>
  </sheetViews>
  <sheetFormatPr baseColWidth="10" defaultColWidth="8.83203125" defaultRowHeight="14" x14ac:dyDescent="0.2"/>
  <cols>
    <col min="1" max="1" width="8.83203125" style="5"/>
    <col min="2" max="2" width="18.1640625" style="5" customWidth="1"/>
    <col min="3" max="3" width="15.5" style="5" bestFit="1" customWidth="1"/>
    <col min="4" max="4" width="22.6640625" style="5" bestFit="1" customWidth="1"/>
    <col min="5" max="5" width="13.5" style="5" bestFit="1" customWidth="1"/>
    <col min="6" max="6" width="11.5" style="5" bestFit="1" customWidth="1"/>
    <col min="7" max="7" width="11.33203125" style="5" customWidth="1"/>
    <col min="8" max="8" width="13.33203125" style="5" bestFit="1" customWidth="1"/>
    <col min="9" max="256" width="11" style="5" customWidth="1"/>
    <col min="257" max="16384" width="8.83203125" style="5"/>
  </cols>
  <sheetData>
    <row r="3" spans="2:10" x14ac:dyDescent="0.2">
      <c r="B3" s="99" t="s">
        <v>5</v>
      </c>
      <c r="C3" s="99"/>
      <c r="D3" s="99"/>
      <c r="E3" s="99"/>
      <c r="F3" s="99"/>
      <c r="G3" s="99"/>
      <c r="H3" s="99"/>
    </row>
    <row r="4" spans="2:10" x14ac:dyDescent="0.2">
      <c r="B4" s="99"/>
      <c r="C4" s="99"/>
      <c r="D4" s="99"/>
      <c r="E4" s="99"/>
      <c r="F4" s="99"/>
      <c r="G4" s="99"/>
      <c r="H4" s="99"/>
    </row>
    <row r="5" spans="2:10" ht="29" customHeight="1" x14ac:dyDescent="0.2">
      <c r="B5" s="16" t="s">
        <v>0</v>
      </c>
      <c r="C5" s="16" t="s">
        <v>1</v>
      </c>
      <c r="D5" s="16" t="s">
        <v>2</v>
      </c>
      <c r="E5" s="16" t="s">
        <v>3</v>
      </c>
      <c r="F5" s="16" t="s">
        <v>4</v>
      </c>
      <c r="G5" s="16" t="s">
        <v>6</v>
      </c>
      <c r="H5" s="16" t="s">
        <v>34</v>
      </c>
    </row>
    <row r="6" spans="2:10" ht="14" customHeight="1" x14ac:dyDescent="0.2">
      <c r="B6" s="13"/>
      <c r="C6" s="6"/>
      <c r="D6" s="6"/>
      <c r="E6" s="14"/>
      <c r="F6" s="27"/>
      <c r="G6" s="15"/>
      <c r="H6" s="28"/>
    </row>
    <row r="7" spans="2:10" ht="14" customHeight="1" x14ac:dyDescent="0.2">
      <c r="B7" s="13" t="s">
        <v>164</v>
      </c>
      <c r="C7" s="6"/>
      <c r="D7" s="6"/>
      <c r="E7" s="14"/>
      <c r="F7" s="90"/>
      <c r="G7" s="15">
        <v>460</v>
      </c>
      <c r="H7" s="28" t="s">
        <v>165</v>
      </c>
    </row>
    <row r="8" spans="2:10" ht="14" customHeight="1" x14ac:dyDescent="0.2">
      <c r="B8" s="13" t="s">
        <v>56</v>
      </c>
      <c r="C8" s="6"/>
      <c r="D8" s="6"/>
      <c r="E8" s="14"/>
      <c r="F8" s="90"/>
      <c r="G8" s="15">
        <f>11.44*15*8</f>
        <v>1372.8</v>
      </c>
      <c r="H8" s="28"/>
    </row>
    <row r="9" spans="2:10" ht="14" customHeight="1" x14ac:dyDescent="0.2">
      <c r="B9" s="13" t="s">
        <v>94</v>
      </c>
      <c r="C9" s="6"/>
      <c r="D9" s="6"/>
      <c r="E9" s="14"/>
      <c r="F9" s="91"/>
      <c r="G9" s="15">
        <f>9.5*9*8</f>
        <v>684</v>
      </c>
      <c r="H9" s="28"/>
    </row>
    <row r="10" spans="2:10" ht="14" customHeight="1" x14ac:dyDescent="0.2">
      <c r="B10" s="13" t="s">
        <v>116</v>
      </c>
      <c r="C10" s="6"/>
      <c r="D10" s="6"/>
      <c r="E10" s="14"/>
      <c r="F10" s="90"/>
      <c r="G10" s="15">
        <f>4*11.5*8</f>
        <v>368</v>
      </c>
      <c r="H10" s="28"/>
    </row>
    <row r="11" spans="2:10" x14ac:dyDescent="0.2">
      <c r="B11" s="13"/>
      <c r="C11" s="6"/>
      <c r="D11" s="6"/>
      <c r="E11" s="14"/>
      <c r="F11" s="90"/>
      <c r="G11" s="15"/>
      <c r="H11" s="28"/>
    </row>
    <row r="12" spans="2:10" x14ac:dyDescent="0.2">
      <c r="B12" s="13"/>
      <c r="C12" s="6"/>
      <c r="D12" s="6"/>
      <c r="E12" s="14"/>
      <c r="F12" s="90"/>
      <c r="G12" s="15"/>
      <c r="H12" s="28"/>
    </row>
    <row r="13" spans="2:10" ht="15" thickBot="1" x14ac:dyDescent="0.25">
      <c r="B13" s="3" t="s">
        <v>6</v>
      </c>
      <c r="C13" s="4"/>
      <c r="D13" s="4"/>
      <c r="E13" s="4"/>
      <c r="F13" s="4"/>
      <c r="G13" s="22">
        <f>+SUM(G6:G11)</f>
        <v>2884.8</v>
      </c>
      <c r="H13" s="55"/>
    </row>
    <row r="14" spans="2:10" ht="15" thickTop="1" x14ac:dyDescent="0.2">
      <c r="B14" s="8"/>
      <c r="C14" s="7"/>
      <c r="D14" s="7"/>
      <c r="E14" s="7"/>
      <c r="F14" s="7"/>
      <c r="G14" s="9"/>
      <c r="H14" s="56"/>
    </row>
    <row r="15" spans="2:10" x14ac:dyDescent="0.2">
      <c r="B15" s="99"/>
      <c r="C15" s="99"/>
      <c r="D15" s="99"/>
      <c r="E15" s="99"/>
      <c r="F15" s="99"/>
      <c r="G15" s="99"/>
      <c r="H15" s="99"/>
      <c r="I15" s="2"/>
      <c r="J15" s="56"/>
    </row>
  </sheetData>
  <mergeCells count="3">
    <mergeCell ref="B15:H15"/>
    <mergeCell ref="B4:H4"/>
    <mergeCell ref="B3:H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K16"/>
  <sheetViews>
    <sheetView topLeftCell="A2" zoomScale="120" zoomScaleNormal="120" workbookViewId="0">
      <selection activeCell="C8" sqref="C8"/>
    </sheetView>
  </sheetViews>
  <sheetFormatPr baseColWidth="10" defaultColWidth="9" defaultRowHeight="14" x14ac:dyDescent="0.2"/>
  <cols>
    <col min="1" max="1" width="27.33203125" style="5" bestFit="1" customWidth="1"/>
    <col min="2" max="2" width="48" style="5" bestFit="1" customWidth="1"/>
    <col min="3" max="3" width="10.83203125" style="5" bestFit="1" customWidth="1"/>
    <col min="4" max="4" width="14.83203125" style="5" bestFit="1" customWidth="1"/>
    <col min="5" max="5" width="10.83203125" style="5" bestFit="1" customWidth="1"/>
    <col min="6" max="6" width="12.5" style="5" bestFit="1" customWidth="1"/>
    <col min="7" max="7" width="14.1640625" style="5" bestFit="1" customWidth="1"/>
    <col min="8" max="8" width="17.33203125" style="5" bestFit="1" customWidth="1"/>
    <col min="9" max="9" width="19.83203125" style="5" bestFit="1" customWidth="1"/>
    <col min="10" max="10" width="12.1640625" style="5" bestFit="1" customWidth="1"/>
    <col min="11" max="16384" width="9" style="5"/>
  </cols>
  <sheetData>
    <row r="1" spans="1:11" x14ac:dyDescent="0.2">
      <c r="A1" s="57"/>
      <c r="B1" s="19"/>
      <c r="C1" s="19"/>
      <c r="D1" s="19"/>
      <c r="E1" s="19"/>
      <c r="F1" s="19"/>
      <c r="G1" s="19"/>
      <c r="H1" s="19"/>
      <c r="I1" s="19"/>
      <c r="J1" s="19"/>
      <c r="K1" s="58"/>
    </row>
    <row r="2" spans="1:11" ht="32" customHeight="1" x14ac:dyDescent="0.2">
      <c r="A2" s="57"/>
      <c r="B2" s="86" t="s">
        <v>83</v>
      </c>
      <c r="C2" s="86" t="s">
        <v>32</v>
      </c>
      <c r="D2" s="86" t="s">
        <v>49</v>
      </c>
      <c r="E2" s="86" t="s">
        <v>9</v>
      </c>
      <c r="F2" s="86" t="s">
        <v>10</v>
      </c>
      <c r="G2" s="86" t="s">
        <v>35</v>
      </c>
      <c r="H2" s="86" t="s">
        <v>12</v>
      </c>
      <c r="I2" s="86" t="s">
        <v>53</v>
      </c>
      <c r="J2" s="86" t="s">
        <v>107</v>
      </c>
      <c r="K2" s="48"/>
    </row>
    <row r="3" spans="1:11" ht="13" customHeight="1" x14ac:dyDescent="0.2">
      <c r="A3" s="59"/>
      <c r="B3" s="21"/>
      <c r="C3" s="60"/>
      <c r="D3" s="61"/>
      <c r="E3" s="62"/>
      <c r="F3" s="63"/>
      <c r="G3" s="64"/>
      <c r="H3" s="18"/>
      <c r="I3" s="18"/>
      <c r="J3" s="18"/>
      <c r="K3" s="65"/>
    </row>
    <row r="4" spans="1:11" x14ac:dyDescent="0.2">
      <c r="A4" s="59"/>
      <c r="B4" s="21"/>
      <c r="C4" s="60"/>
      <c r="D4" s="72"/>
      <c r="E4" s="73"/>
      <c r="F4" s="63"/>
      <c r="G4" s="64"/>
      <c r="H4" s="18"/>
      <c r="I4" s="18"/>
      <c r="J4" s="18"/>
      <c r="K4" s="65"/>
    </row>
    <row r="5" spans="1:11" x14ac:dyDescent="0.2">
      <c r="A5" s="59"/>
      <c r="B5" s="21"/>
      <c r="D5" s="72"/>
      <c r="E5" s="76"/>
      <c r="F5" s="63"/>
      <c r="G5" s="64"/>
      <c r="H5" s="18"/>
      <c r="I5" s="18"/>
      <c r="J5" s="18"/>
      <c r="K5" s="65"/>
    </row>
    <row r="6" spans="1:11" x14ac:dyDescent="0.2">
      <c r="A6" s="57"/>
      <c r="B6" s="66" t="s">
        <v>129</v>
      </c>
      <c r="C6" s="74" t="s">
        <v>155</v>
      </c>
      <c r="D6" s="75" t="s">
        <v>156</v>
      </c>
      <c r="E6" s="67" t="s">
        <v>157</v>
      </c>
      <c r="F6" s="69"/>
      <c r="G6" s="70"/>
      <c r="H6" s="71"/>
      <c r="I6" s="71"/>
      <c r="J6" s="71"/>
      <c r="K6" s="65"/>
    </row>
    <row r="7" spans="1:11" x14ac:dyDescent="0.2">
      <c r="A7" s="19"/>
      <c r="B7" s="21" t="s">
        <v>144</v>
      </c>
      <c r="C7" s="60" t="s">
        <v>152</v>
      </c>
      <c r="D7" s="61" t="s">
        <v>153</v>
      </c>
      <c r="E7" s="62">
        <v>111060</v>
      </c>
      <c r="F7" s="63"/>
      <c r="G7" s="64"/>
      <c r="H7" s="18"/>
      <c r="I7" s="77"/>
      <c r="J7" s="18"/>
      <c r="K7" s="65"/>
    </row>
    <row r="8" spans="1:11" x14ac:dyDescent="0.2">
      <c r="A8" s="57"/>
      <c r="B8" s="66" t="s">
        <v>133</v>
      </c>
      <c r="C8" s="74"/>
      <c r="D8" s="67" t="s">
        <v>154</v>
      </c>
      <c r="E8" s="68">
        <v>401192</v>
      </c>
      <c r="F8" s="69"/>
      <c r="G8" s="71"/>
      <c r="H8" s="71"/>
      <c r="I8" s="71"/>
      <c r="J8" s="71"/>
      <c r="K8" s="65"/>
    </row>
    <row r="9" spans="1:11" x14ac:dyDescent="0.2">
      <c r="A9" s="57"/>
      <c r="B9" s="21" t="s">
        <v>131</v>
      </c>
      <c r="C9" s="60" t="s">
        <v>150</v>
      </c>
      <c r="D9" s="78" t="s">
        <v>151</v>
      </c>
      <c r="E9" s="73">
        <v>400336</v>
      </c>
      <c r="F9" s="63"/>
      <c r="G9" s="18"/>
      <c r="H9" s="18"/>
      <c r="I9" s="18"/>
      <c r="J9" s="18"/>
      <c r="K9" s="65"/>
    </row>
    <row r="10" spans="1:11" x14ac:dyDescent="0.2">
      <c r="A10" s="19"/>
      <c r="B10" s="66" t="s">
        <v>145</v>
      </c>
      <c r="C10" s="74" t="s">
        <v>148</v>
      </c>
      <c r="D10" s="67" t="s">
        <v>149</v>
      </c>
      <c r="E10" s="68">
        <v>601801</v>
      </c>
      <c r="F10" s="79"/>
      <c r="G10" s="71"/>
      <c r="H10" s="71"/>
      <c r="I10" s="71"/>
      <c r="J10" s="71"/>
      <c r="K10" s="18"/>
    </row>
    <row r="11" spans="1:11" x14ac:dyDescent="0.2">
      <c r="A11" s="19"/>
      <c r="B11" s="21" t="s">
        <v>146</v>
      </c>
      <c r="C11" s="19" t="s">
        <v>147</v>
      </c>
      <c r="D11" s="80">
        <v>28698185</v>
      </c>
      <c r="E11" s="35">
        <v>501029</v>
      </c>
      <c r="G11" s="19"/>
      <c r="H11" s="19"/>
      <c r="I11" s="19"/>
      <c r="J11" s="19"/>
      <c r="K11" s="19"/>
    </row>
    <row r="12" spans="1:11" x14ac:dyDescent="0.2">
      <c r="B12" s="81" t="s">
        <v>158</v>
      </c>
      <c r="C12" s="82" t="s">
        <v>159</v>
      </c>
      <c r="D12" s="83">
        <v>43912680</v>
      </c>
      <c r="E12" s="83">
        <v>42909</v>
      </c>
      <c r="F12" s="82"/>
      <c r="G12" s="82"/>
      <c r="H12" s="82"/>
      <c r="I12" s="82"/>
      <c r="J12" s="82"/>
    </row>
    <row r="13" spans="1:11" x14ac:dyDescent="0.2">
      <c r="B13" s="84"/>
      <c r="D13" s="85"/>
      <c r="E13" s="76"/>
    </row>
    <row r="14" spans="1:11" x14ac:dyDescent="0.2">
      <c r="B14" s="81"/>
      <c r="C14" s="82"/>
      <c r="D14" s="83"/>
      <c r="E14" s="83"/>
      <c r="F14" s="82"/>
      <c r="G14" s="82"/>
      <c r="H14" s="82"/>
      <c r="I14" s="82"/>
      <c r="J14" s="82"/>
    </row>
    <row r="15" spans="1:11" x14ac:dyDescent="0.2">
      <c r="B15" s="84"/>
      <c r="D15" s="76"/>
      <c r="E15" s="76"/>
    </row>
    <row r="16" spans="1:11" x14ac:dyDescent="0.2">
      <c r="D16" s="76"/>
      <c r="E16" s="76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2"/>
  <sheetViews>
    <sheetView topLeftCell="A4" workbookViewId="0">
      <selection activeCell="G10" sqref="G10"/>
    </sheetView>
  </sheetViews>
  <sheetFormatPr baseColWidth="10" defaultRowHeight="14" x14ac:dyDescent="0.2"/>
  <cols>
    <col min="1" max="1" width="17.6640625" style="5" bestFit="1" customWidth="1"/>
    <col min="2" max="2" width="10.83203125" style="5"/>
    <col min="3" max="3" width="13.1640625" style="5" bestFit="1" customWidth="1"/>
    <col min="4" max="4" width="10.83203125" style="5"/>
    <col min="5" max="5" width="22.33203125" style="5" bestFit="1" customWidth="1"/>
    <col min="6" max="6" width="18.6640625" style="5" bestFit="1" customWidth="1"/>
    <col min="7" max="7" width="16.33203125" style="5" bestFit="1" customWidth="1"/>
    <col min="8" max="8" width="8.1640625" style="5" bestFit="1" customWidth="1"/>
    <col min="9" max="9" width="17.6640625" style="5" bestFit="1" customWidth="1"/>
    <col min="10" max="10" width="10.83203125" style="5"/>
    <col min="11" max="11" width="13.83203125" style="5" bestFit="1" customWidth="1"/>
    <col min="12" max="12" width="19.83203125" style="5" customWidth="1"/>
    <col min="13" max="16384" width="10.83203125" style="5"/>
  </cols>
  <sheetData>
    <row r="6" spans="1:12" ht="15" thickBot="1" x14ac:dyDescent="0.25">
      <c r="B6" s="88"/>
      <c r="C6" s="88" t="s">
        <v>23</v>
      </c>
      <c r="D6" s="88" t="s">
        <v>16</v>
      </c>
      <c r="E6" s="88" t="s">
        <v>24</v>
      </c>
      <c r="F6" s="88" t="s">
        <v>27</v>
      </c>
      <c r="G6" s="88" t="s">
        <v>25</v>
      </c>
      <c r="H6" s="88"/>
      <c r="I6" s="88" t="s">
        <v>26</v>
      </c>
      <c r="J6" s="88" t="s">
        <v>19</v>
      </c>
      <c r="K6" s="88" t="s">
        <v>33</v>
      </c>
      <c r="L6" s="88" t="s">
        <v>29</v>
      </c>
    </row>
    <row r="7" spans="1:12" ht="15" thickTop="1" x14ac:dyDescent="0.2">
      <c r="B7" s="5" t="s">
        <v>14</v>
      </c>
      <c r="C7" s="5">
        <v>166.95</v>
      </c>
      <c r="D7" s="5">
        <f>+B16*B17</f>
        <v>3600</v>
      </c>
      <c r="E7" s="5">
        <v>14363</v>
      </c>
      <c r="F7" s="5">
        <f>E7-D7</f>
        <v>10763</v>
      </c>
      <c r="G7" s="5">
        <f>C7-B17</f>
        <v>126.94999999999999</v>
      </c>
      <c r="H7" s="5">
        <f>G7*$B$15</f>
        <v>9521.25</v>
      </c>
      <c r="I7" s="5">
        <f>F7-H7</f>
        <v>1241.75</v>
      </c>
      <c r="J7" s="23">
        <f>I7*$B$14</f>
        <v>62.087500000000006</v>
      </c>
      <c r="K7" s="20">
        <f>J7/G7</f>
        <v>0.48907050019692799</v>
      </c>
      <c r="L7" s="26">
        <f>C7-B17</f>
        <v>126.94999999999999</v>
      </c>
    </row>
    <row r="8" spans="1:12" x14ac:dyDescent="0.2">
      <c r="B8" s="5" t="s">
        <v>104</v>
      </c>
      <c r="C8" s="5">
        <v>258.06</v>
      </c>
      <c r="D8" s="5">
        <v>0</v>
      </c>
      <c r="E8" s="5">
        <v>17196</v>
      </c>
      <c r="F8" s="5">
        <f>E8-D8</f>
        <v>17196</v>
      </c>
      <c r="G8" s="5">
        <f>C8-B19</f>
        <v>258.06</v>
      </c>
      <c r="H8" s="5">
        <f t="shared" ref="H8:H9" si="0">G8*$B$15</f>
        <v>19354.5</v>
      </c>
      <c r="I8" s="5">
        <f t="shared" ref="I8:I9" si="1">F8-H8</f>
        <v>-2158.5</v>
      </c>
      <c r="J8" s="23">
        <f t="shared" ref="J8:J9" si="2">I8*$B$14</f>
        <v>-107.92500000000001</v>
      </c>
      <c r="K8" s="20">
        <f t="shared" ref="K8:K9" si="3">J8/G8</f>
        <v>-0.41821669379214138</v>
      </c>
      <c r="L8" s="26">
        <f t="shared" ref="L8:L9" si="4">C8-B18</f>
        <v>248.06</v>
      </c>
    </row>
    <row r="9" spans="1:12" ht="17" customHeight="1" x14ac:dyDescent="0.2">
      <c r="B9" s="5" t="s">
        <v>15</v>
      </c>
      <c r="C9" s="5">
        <v>42.54</v>
      </c>
      <c r="D9" s="5">
        <f>$B$16*B18</f>
        <v>900</v>
      </c>
      <c r="E9" s="5">
        <v>3996</v>
      </c>
      <c r="F9" s="5">
        <f t="shared" ref="F9" si="5">E9-D9</f>
        <v>3096</v>
      </c>
      <c r="G9" s="5">
        <f>C9-B18</f>
        <v>32.54</v>
      </c>
      <c r="H9" s="5">
        <f t="shared" si="0"/>
        <v>2440.5</v>
      </c>
      <c r="I9" s="5">
        <f t="shared" si="1"/>
        <v>655.5</v>
      </c>
      <c r="J9" s="23">
        <f t="shared" si="2"/>
        <v>32.774999999999999</v>
      </c>
      <c r="K9" s="20">
        <f t="shared" si="3"/>
        <v>1.0072218807621389</v>
      </c>
      <c r="L9" s="26">
        <f t="shared" si="4"/>
        <v>42.54</v>
      </c>
    </row>
    <row r="10" spans="1:12" ht="17" customHeight="1" x14ac:dyDescent="0.2">
      <c r="E10" s="5" t="s">
        <v>51</v>
      </c>
      <c r="J10" s="23"/>
      <c r="K10" s="25"/>
      <c r="L10" s="26"/>
    </row>
    <row r="11" spans="1:12" ht="17" customHeight="1" x14ac:dyDescent="0.2">
      <c r="J11" s="23"/>
      <c r="K11" s="25"/>
      <c r="L11" s="26"/>
    </row>
    <row r="13" spans="1:12" x14ac:dyDescent="0.2">
      <c r="A13" s="87" t="s">
        <v>91</v>
      </c>
    </row>
    <row r="14" spans="1:12" x14ac:dyDescent="0.2">
      <c r="A14" s="5" t="s">
        <v>20</v>
      </c>
      <c r="B14" s="5">
        <v>0.05</v>
      </c>
    </row>
    <row r="15" spans="1:12" x14ac:dyDescent="0.2">
      <c r="A15" s="5" t="s">
        <v>21</v>
      </c>
      <c r="B15" s="5">
        <v>75</v>
      </c>
    </row>
    <row r="16" spans="1:12" x14ac:dyDescent="0.2">
      <c r="A16" s="5" t="s">
        <v>22</v>
      </c>
      <c r="B16" s="5">
        <v>90</v>
      </c>
    </row>
    <row r="17" spans="1:7" x14ac:dyDescent="0.2">
      <c r="A17" s="49" t="s">
        <v>18</v>
      </c>
      <c r="B17" s="5">
        <v>40</v>
      </c>
      <c r="C17" s="5" t="s">
        <v>50</v>
      </c>
    </row>
    <row r="18" spans="1:7" x14ac:dyDescent="0.2">
      <c r="A18" s="49" t="s">
        <v>17</v>
      </c>
      <c r="B18" s="5">
        <v>10</v>
      </c>
    </row>
    <row r="19" spans="1:7" x14ac:dyDescent="0.2">
      <c r="A19" s="49" t="s">
        <v>104</v>
      </c>
      <c r="B19" s="5">
        <v>0</v>
      </c>
    </row>
    <row r="20" spans="1:7" x14ac:dyDescent="0.2">
      <c r="A20" s="5" t="s">
        <v>30</v>
      </c>
      <c r="B20" s="5">
        <v>0</v>
      </c>
    </row>
    <row r="24" spans="1:7" x14ac:dyDescent="0.2">
      <c r="B24" s="5">
        <f>5*20</f>
        <v>100</v>
      </c>
    </row>
    <row r="25" spans="1:7" x14ac:dyDescent="0.2">
      <c r="E25" s="5">
        <v>116.54</v>
      </c>
    </row>
    <row r="26" spans="1:7" x14ac:dyDescent="0.2">
      <c r="E26" s="5">
        <f>+E25*75</f>
        <v>8740.5</v>
      </c>
    </row>
    <row r="27" spans="1:7" x14ac:dyDescent="0.2">
      <c r="E27" s="5">
        <v>11119</v>
      </c>
      <c r="F27" s="5">
        <f>(E27-E26)*0.05</f>
        <v>118.92500000000001</v>
      </c>
      <c r="G27" s="5">
        <f>F27-50</f>
        <v>68.925000000000011</v>
      </c>
    </row>
    <row r="28" spans="1:7" x14ac:dyDescent="0.2">
      <c r="F28" s="5">
        <f>+F2</f>
        <v>0</v>
      </c>
    </row>
    <row r="32" spans="1:7" x14ac:dyDescent="0.2">
      <c r="G32" s="5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"/>
  <sheetViews>
    <sheetView topLeftCell="C1" zoomScaleNormal="100" workbookViewId="0">
      <selection activeCell="L36" sqref="L36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 </vt:lpstr>
      <vt:lpstr>Timesheet </vt:lpstr>
      <vt:lpstr>Holiday notes </vt:lpstr>
      <vt:lpstr>Starter checklist </vt:lpstr>
      <vt:lpstr>Dumpling Bonus </vt:lpstr>
      <vt:lpstr>new</vt:lpstr>
      <vt:lpstr>'Holiday notes 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2024-10-21T14:55:27Z</dcterms:modified>
</cp:coreProperties>
</file>