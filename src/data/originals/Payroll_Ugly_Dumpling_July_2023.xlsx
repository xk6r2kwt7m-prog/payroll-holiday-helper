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814925F4-598B-5740-BEF9-FC75FF91F4B1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2" l="1"/>
  <c r="D6" i="2"/>
  <c r="F20" i="8"/>
  <c r="F19" i="8"/>
  <c r="D8" i="6"/>
  <c r="G34" i="8"/>
  <c r="G33" i="8"/>
  <c r="G35" i="8"/>
  <c r="G17" i="8"/>
  <c r="E16" i="8"/>
  <c r="G16" i="8" s="1"/>
  <c r="E15" i="8"/>
  <c r="G15" i="8" s="1"/>
  <c r="G18" i="8"/>
  <c r="F8" i="2"/>
  <c r="F9" i="2"/>
  <c r="F11" i="2"/>
  <c r="F14" i="2"/>
  <c r="F13" i="2"/>
  <c r="F12" i="2"/>
  <c r="F10" i="2"/>
  <c r="F7" i="2"/>
  <c r="F6" i="2"/>
  <c r="G8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5" i="8"/>
  <c r="G6" i="8"/>
  <c r="G7" i="8"/>
  <c r="G9" i="8"/>
  <c r="G10" i="8"/>
  <c r="G11" i="8"/>
  <c r="G12" i="8"/>
  <c r="G19" i="8"/>
  <c r="B23" i="6" l="1"/>
  <c r="G13" i="8" l="1"/>
  <c r="G14" i="8"/>
  <c r="G4" i="8"/>
  <c r="G26" i="6"/>
  <c r="F26" i="6"/>
  <c r="F27" i="6"/>
  <c r="E25" i="6"/>
  <c r="F8" i="6"/>
  <c r="G8" i="6"/>
  <c r="D7" i="6"/>
  <c r="F15" i="2" l="1"/>
  <c r="C16" i="3" s="1"/>
  <c r="H8" i="6"/>
  <c r="I8" i="6" s="1"/>
  <c r="C58" i="8" l="1"/>
  <c r="I43" i="8" a="1"/>
  <c r="I43" i="8" s="1"/>
  <c r="L7" i="6" l="1"/>
  <c r="F7" i="6" l="1"/>
  <c r="G7" i="6" l="1"/>
  <c r="H7" i="6" l="1"/>
  <c r="L8" i="6"/>
  <c r="G36" i="8" s="1"/>
  <c r="C14" i="3" s="1"/>
  <c r="I7" i="6" l="1"/>
  <c r="J7" i="6" s="1"/>
  <c r="J8" i="6"/>
  <c r="I19" i="8" l="1"/>
  <c r="I36" i="8" s="1"/>
  <c r="K8" i="6"/>
  <c r="H36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<sst xmlns="http://schemas.openxmlformats.org/spreadsheetml/2006/main" count="200" uniqueCount="136">
  <si>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</si>
  <si>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</si>
  <si>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</si>
  <si>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</si>
  <si>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</si>
  <si>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</si>
  <si>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</si>
  <si>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</si>
  <si>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</si>
  <si>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Hourly Rate </t>
  </si>
  <si>
    <t xml:space="preserve">Auntie Wing </t>
  </si>
  <si>
    <t>Auntie WING</t>
  </si>
  <si>
    <t xml:space="preserve">NOTES </t>
  </si>
  <si>
    <t>Waitress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</si>
  <si>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</si>
  <si>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</si>
  <si>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</si>
  <si>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</si>
  <si>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</si>
  <si>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</si>
  <si>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</si>
  <si>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</si>
  <si>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</si>
  <si>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</si>
  <si>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</si>
  <si>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</si>
  <si>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</si>
  <si>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</si>
  <si>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</si>
  <si>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</si>
  <si>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</si>
  <si>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</si>
  <si>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</si>
  <si>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</si>
  <si>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Naomi Jhuliana</t>
  </si>
  <si>
    <t>Vallejos</t>
  </si>
  <si>
    <t xml:space="preserve">Junior chef </t>
  </si>
  <si>
    <t>Heidy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</si>
  <si>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</si>
  <si>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</si>
  <si>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</si>
  <si>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</si>
  <si>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</si>
  <si>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</si>
  <si>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</si>
  <si>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</si>
  <si>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</si>
  <si>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</si>
  <si>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</si>
  <si>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</si>
  <si>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</si>
  <si>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</si>
  <si>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</si>
  <si>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</si>
  <si>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</si>
  <si>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</si>
  <si>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</si>
  <si>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</si>
  <si>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</si>
  <si>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</si>
  <si>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</si>
  <si>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</si>
  <si>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</si>
  <si>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</si>
  <si>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</si>
  <si>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</si>
  <si>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</si>
  <si>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</si>
  <si>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</si>
  <si>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</si>
  <si>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</si>
  <si>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</si>
  <si>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</si>
  <si>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</si>
  <si>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</si>
  <si>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</si>
  <si>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</si>
  <si>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</si>
  <si>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</si>
  <si>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</si>
  <si>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</si>
  <si>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</si>
  <si>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</si>
  <si>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</si>
  <si>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</si>
  <si>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</si>
  <si>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</si>
  <si>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Ramos </t>
  </si>
  <si>
    <t>Hafiz Abdur</t>
  </si>
  <si>
    <t xml:space="preserve">Rahim </t>
  </si>
  <si>
    <t xml:space="preserve">Setareh </t>
  </si>
  <si>
    <t xml:space="preserve">Saeedfar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</si>
  <si>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</si>
  <si>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</si>
  <si>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</si>
  <si>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</si>
  <si>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</si>
  <si>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</si>
  <si>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</si>
  <si>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</si>
  <si>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</si>
  <si>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Waiter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</si>
  <si>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</si>
  <si>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</si>
  <si>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</si>
  <si>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</si>
  <si>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</si>
  <si>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</si>
  <si>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Special Arrang. Bonus </t>
  </si>
  <si>
    <t xml:space="preserve">starter </t>
  </si>
  <si>
    <t>PAYROLL  24th th of April to 21st of May UGLY DUMPLING  TEAM</t>
  </si>
  <si>
    <t xml:space="preserve">Karina </t>
  </si>
  <si>
    <t>Kavdaska</t>
  </si>
  <si>
    <t xml:space="preserve">Archie </t>
  </si>
  <si>
    <t xml:space="preserve">Brice-Adams </t>
  </si>
  <si>
    <t xml:space="preserve">Anna </t>
  </si>
  <si>
    <t xml:space="preserve">Edith Andrea </t>
  </si>
  <si>
    <t xml:space="preserve">Llumiquinga </t>
  </si>
  <si>
    <t xml:space="preserve">Melanny </t>
  </si>
  <si>
    <t xml:space="preserve"> Sharing Code</t>
  </si>
  <si>
    <t xml:space="preserve">Leaver </t>
  </si>
  <si>
    <t xml:space="preserve">Allen </t>
  </si>
  <si>
    <t xml:space="preserve">LEAVER </t>
  </si>
  <si>
    <t>Folleco Chala</t>
  </si>
  <si>
    <t xml:space="preserve">Louis </t>
  </si>
  <si>
    <t>Agranoff</t>
  </si>
  <si>
    <t xml:space="preserve">Eliana </t>
  </si>
  <si>
    <t xml:space="preserve">Sebastian </t>
  </si>
  <si>
    <t>04.00.04</t>
  </si>
  <si>
    <t>SE019599D</t>
  </si>
  <si>
    <t>21406782</t>
  </si>
  <si>
    <t>07.04.36</t>
  </si>
  <si>
    <t xml:space="preserve">Kitchen Ass. Manager </t>
  </si>
  <si>
    <t>SP613605B</t>
  </si>
  <si>
    <t>80555877</t>
  </si>
  <si>
    <t>Kitchen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</si>
</sst>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2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1" fillId="2" borderId="0" xfId="0" applyFont="1" applyFill="1" applyBorder="1"/>
    <xf numFmtId="0" fontId="21" fillId="2" borderId="0" xfId="0" applyFont="1" applyFill="1"/>
    <xf numFmtId="0" fontId="21" fillId="3" borderId="0" xfId="0" applyFont="1" applyFill="1" applyBorder="1"/>
    <xf numFmtId="0" fontId="21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2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6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2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6" fillId="2" borderId="0" xfId="0" applyFont="1" applyFill="1" applyBorder="1"/>
    <xf numFmtId="0" fontId="19" fillId="4" borderId="0" xfId="0" applyFont="1" applyFill="1"/>
    <xf numFmtId="164" fontId="6" fillId="4" borderId="0" xfId="78" applyFont="1" applyFill="1" applyAlignment="1">
      <alignment horizontal="right" vertical="center"/>
    </xf>
    <xf numFmtId="165" fontId="19" fillId="4" borderId="0" xfId="0" applyNumberFormat="1" applyFont="1" applyFill="1"/>
    <xf numFmtId="0" fontId="27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0" fontId="0" fillId="4" borderId="0" xfId="0" applyFill="1"/>
    <xf numFmtId="165" fontId="12" fillId="2" borderId="0" xfId="0" applyNumberFormat="1" applyFont="1" applyFill="1"/>
    <xf numFmtId="10" fontId="14" fillId="2" borderId="0" xfId="79" applyNumberFormat="1" applyFont="1" applyFill="1"/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28" fillId="2" borderId="0" xfId="0" applyNumberFormat="1" applyFont="1" applyFill="1"/>
    <xf numFmtId="0" fontId="28" fillId="2" borderId="0" xfId="0" applyFont="1" applyFill="1"/>
    <xf numFmtId="6" fontId="6" fillId="4" borderId="0" xfId="0" applyNumberFormat="1" applyFont="1" applyFill="1"/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8" fillId="4" borderId="0" xfId="0" applyNumberFormat="1" applyFont="1" applyFill="1"/>
    <xf numFmtId="0" fontId="28" fillId="4" borderId="0" xfId="0" applyFont="1" applyFill="1"/>
    <xf numFmtId="0" fontId="10" fillId="2" borderId="0" xfId="0" applyNumberFormat="1" applyFont="1" applyFill="1" applyBorder="1" applyAlignment="1">
      <alignment horizontal="center" vertical="center"/>
    </xf>
    <xf numFmtId="44" fontId="22" fillId="2" borderId="0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23" fillId="6" borderId="0" xfId="0" applyFont="1" applyFill="1"/>
    <xf numFmtId="0" fontId="24" fillId="6" borderId="0" xfId="0" applyFont="1" applyFill="1"/>
    <xf numFmtId="165" fontId="23" fillId="6" borderId="0" xfId="0" applyNumberFormat="1" applyFont="1" applyFill="1"/>
    <xf numFmtId="0" fontId="23" fillId="6" borderId="0" xfId="0" applyFont="1" applyFill="1" applyAlignment="1">
      <alignment horizontal="right" vertical="center"/>
    </xf>
    <xf numFmtId="164" fontId="23" fillId="6" borderId="0" xfId="0" applyNumberFormat="1" applyFont="1" applyFill="1"/>
    <xf numFmtId="0" fontId="25" fillId="6" borderId="0" xfId="0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opLeftCell="A3" workbookViewId="0">
      <selection activeCell="C19" sqref="C19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15" t="s">
        <v>110</v>
      </c>
      <c r="B7" s="115"/>
      <c r="C7" s="115"/>
      <c r="D7" s="115"/>
      <c r="E7" s="115"/>
      <c r="F7" s="115"/>
      <c r="G7" s="115"/>
      <c r="H7" s="115"/>
      <c r="I7" s="115"/>
    </row>
    <row r="8" spans="1:9" x14ac:dyDescent="0.2">
      <c r="A8" s="115"/>
      <c r="B8" s="115"/>
      <c r="C8" s="115"/>
      <c r="D8" s="115"/>
      <c r="E8" s="115"/>
      <c r="F8" s="115"/>
      <c r="G8" s="115"/>
      <c r="H8" s="115"/>
      <c r="I8" s="115"/>
    </row>
    <row r="9" spans="1:9" x14ac:dyDescent="0.2">
      <c r="A9" s="10"/>
      <c r="E9" s="23"/>
      <c r="F9" s="13"/>
    </row>
    <row r="12" spans="1:9" x14ac:dyDescent="0.2">
      <c r="C12" s="19"/>
    </row>
    <row r="13" spans="1:9" x14ac:dyDescent="0.2">
      <c r="B13" s="20"/>
      <c r="C13" s="22" t="s">
        <v>15</v>
      </c>
    </row>
    <row r="14" spans="1:9" x14ac:dyDescent="0.2">
      <c r="B14" s="10" t="s">
        <v>8</v>
      </c>
      <c r="C14" s="17">
        <f>'FOH&amp;BOH '!G36</f>
        <v>42181.736799999991</v>
      </c>
    </row>
    <row r="15" spans="1:9" x14ac:dyDescent="0.2">
      <c r="B15" s="10" t="s">
        <v>98</v>
      </c>
      <c r="C15" s="17">
        <f>'FOH&amp;BOH '!H36</f>
        <v>480</v>
      </c>
    </row>
    <row r="16" spans="1:9" x14ac:dyDescent="0.2">
      <c r="B16" s="10" t="s">
        <v>14</v>
      </c>
      <c r="C16" s="17">
        <f>'HOLIDAYS AND NOTES'!F15</f>
        <v>936</v>
      </c>
    </row>
    <row r="17" spans="2:6" ht="17" thickBot="1" x14ac:dyDescent="0.25">
      <c r="B17" s="18" t="s">
        <v>16</v>
      </c>
      <c r="C17" s="77">
        <f>SUM(C14:C16)</f>
        <v>43597.736799999991</v>
      </c>
    </row>
    <row r="18" spans="2:6" ht="17" thickTop="1" x14ac:dyDescent="0.2">
      <c r="F18" s="114"/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3:L58"/>
  <sheetViews>
    <sheetView tabSelected="1" zoomScale="120" zoomScaleNormal="120" workbookViewId="0">
      <selection activeCell="A17" sqref="A17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21" style="2" customWidth="1"/>
    <col min="13" max="16384" width="10.83203125" style="2"/>
  </cols>
  <sheetData>
    <row r="3" spans="1:12" ht="17" thickBot="1" x14ac:dyDescent="0.25">
      <c r="A3" s="130" t="s">
        <v>0</v>
      </c>
      <c r="B3" s="130" t="s">
        <v>1</v>
      </c>
      <c r="C3" s="130" t="s">
        <v>2</v>
      </c>
      <c r="D3" s="130" t="s">
        <v>41</v>
      </c>
      <c r="E3" s="130" t="s">
        <v>46</v>
      </c>
      <c r="F3" s="130" t="s">
        <v>5</v>
      </c>
      <c r="G3" s="130" t="s">
        <v>42</v>
      </c>
      <c r="H3" s="130" t="s">
        <v>49</v>
      </c>
      <c r="I3" s="130" t="s">
        <v>108</v>
      </c>
      <c r="J3" s="130" t="s">
        <v>43</v>
      </c>
      <c r="K3" s="130" t="s">
        <v>44</v>
      </c>
      <c r="L3" s="130" t="s">
        <v>45</v>
      </c>
    </row>
    <row r="4" spans="1:12" ht="17" thickTop="1" x14ac:dyDescent="0.2">
      <c r="A4" s="4" t="s">
        <v>13</v>
      </c>
      <c r="B4" s="4" t="s">
        <v>32</v>
      </c>
      <c r="C4" s="4" t="s">
        <v>33</v>
      </c>
      <c r="D4" s="88" t="s">
        <v>9</v>
      </c>
      <c r="E4" s="89">
        <v>10.5</v>
      </c>
      <c r="F4" s="88">
        <v>167.64</v>
      </c>
      <c r="G4" s="90">
        <f>(E4*F4)+K4*F4</f>
        <v>2179.3199999999997</v>
      </c>
      <c r="H4" s="91">
        <v>100</v>
      </c>
      <c r="I4" s="92"/>
      <c r="J4" s="4"/>
      <c r="K4" s="93">
        <v>2.5</v>
      </c>
      <c r="L4" s="4"/>
    </row>
    <row r="5" spans="1:12" x14ac:dyDescent="0.2">
      <c r="A5" s="7" t="s">
        <v>80</v>
      </c>
      <c r="B5" s="64" t="s">
        <v>21</v>
      </c>
      <c r="C5" s="64" t="s">
        <v>22</v>
      </c>
      <c r="D5" s="64" t="s">
        <v>9</v>
      </c>
      <c r="E5" s="108">
        <v>11</v>
      </c>
      <c r="F5" s="64">
        <v>151.66999999999999</v>
      </c>
      <c r="G5" s="65">
        <f t="shared" ref="G5:G12" si="0">(E5*F5)+K5*F5</f>
        <v>2275.0499999999997</v>
      </c>
      <c r="H5" s="70">
        <v>150</v>
      </c>
      <c r="I5" s="8"/>
      <c r="J5" s="7"/>
      <c r="K5" s="66">
        <v>4</v>
      </c>
      <c r="L5" s="7"/>
    </row>
    <row r="6" spans="1:12" x14ac:dyDescent="0.2">
      <c r="A6" s="4" t="s">
        <v>80</v>
      </c>
      <c r="B6" s="94" t="s">
        <v>68</v>
      </c>
      <c r="C6" s="4" t="s">
        <v>69</v>
      </c>
      <c r="D6" s="88" t="s">
        <v>9</v>
      </c>
      <c r="E6" s="93">
        <v>11</v>
      </c>
      <c r="F6" s="88">
        <v>141.08000000000001</v>
      </c>
      <c r="G6" s="90">
        <f t="shared" si="0"/>
        <v>1975.1200000000001</v>
      </c>
      <c r="H6" s="92">
        <v>100</v>
      </c>
      <c r="I6" s="92"/>
      <c r="J6" s="4"/>
      <c r="K6" s="93">
        <v>3</v>
      </c>
      <c r="L6" s="92"/>
    </row>
    <row r="7" spans="1:12" x14ac:dyDescent="0.2">
      <c r="A7" s="7" t="s">
        <v>13</v>
      </c>
      <c r="B7" s="9" t="s">
        <v>48</v>
      </c>
      <c r="C7" s="7" t="s">
        <v>47</v>
      </c>
      <c r="D7" s="64" t="s">
        <v>9</v>
      </c>
      <c r="E7" s="66">
        <v>10</v>
      </c>
      <c r="F7" s="64">
        <v>126.62</v>
      </c>
      <c r="G7" s="65">
        <f t="shared" si="0"/>
        <v>1456.13</v>
      </c>
      <c r="H7" s="8"/>
      <c r="I7" s="8"/>
      <c r="J7" s="7"/>
      <c r="K7" s="66">
        <v>1.5</v>
      </c>
      <c r="L7" s="120"/>
    </row>
    <row r="8" spans="1:12" x14ac:dyDescent="0.2">
      <c r="A8" s="10" t="s">
        <v>13</v>
      </c>
      <c r="B8" s="96" t="s">
        <v>92</v>
      </c>
      <c r="C8" s="10" t="s">
        <v>93</v>
      </c>
      <c r="D8" s="88" t="s">
        <v>9</v>
      </c>
      <c r="E8" s="97">
        <v>10</v>
      </c>
      <c r="F8" s="88">
        <v>97.84</v>
      </c>
      <c r="G8" s="90">
        <f t="shared" si="0"/>
        <v>1076.24</v>
      </c>
      <c r="H8" s="98"/>
      <c r="I8" s="98"/>
      <c r="J8" s="10"/>
      <c r="K8" s="97">
        <v>1</v>
      </c>
      <c r="L8" s="10"/>
    </row>
    <row r="9" spans="1:12" x14ac:dyDescent="0.2">
      <c r="A9" s="121" t="s">
        <v>13</v>
      </c>
      <c r="B9" s="122" t="s">
        <v>94</v>
      </c>
      <c r="C9" s="121" t="s">
        <v>95</v>
      </c>
      <c r="D9" s="64" t="s">
        <v>9</v>
      </c>
      <c r="E9" s="123">
        <v>9</v>
      </c>
      <c r="F9" s="64">
        <v>142.31</v>
      </c>
      <c r="G9" s="65">
        <f t="shared" si="0"/>
        <v>1423.1</v>
      </c>
      <c r="H9" s="124"/>
      <c r="I9" s="124"/>
      <c r="J9" s="121"/>
      <c r="K9" s="123">
        <v>1</v>
      </c>
      <c r="L9" s="121"/>
    </row>
    <row r="10" spans="1:12" s="28" customFormat="1" x14ac:dyDescent="0.2">
      <c r="A10" s="10" t="s">
        <v>13</v>
      </c>
      <c r="B10" s="96" t="s">
        <v>111</v>
      </c>
      <c r="C10" s="10" t="s">
        <v>112</v>
      </c>
      <c r="D10" s="4" t="s">
        <v>9</v>
      </c>
      <c r="E10" s="97">
        <v>9</v>
      </c>
      <c r="F10" s="4">
        <v>106.48</v>
      </c>
      <c r="G10" s="90">
        <f t="shared" si="0"/>
        <v>1064.8</v>
      </c>
      <c r="H10" s="118"/>
      <c r="I10" s="118"/>
      <c r="J10" s="119"/>
      <c r="K10" s="97">
        <v>1</v>
      </c>
      <c r="L10" s="119"/>
    </row>
    <row r="11" spans="1:12" s="28" customFormat="1" x14ac:dyDescent="0.2">
      <c r="A11" s="121" t="s">
        <v>101</v>
      </c>
      <c r="B11" s="122" t="s">
        <v>113</v>
      </c>
      <c r="C11" s="121" t="s">
        <v>114</v>
      </c>
      <c r="D11" s="7" t="s">
        <v>9</v>
      </c>
      <c r="E11" s="123">
        <v>9.5</v>
      </c>
      <c r="F11" s="7">
        <v>100.5</v>
      </c>
      <c r="G11" s="65">
        <f t="shared" si="0"/>
        <v>1005</v>
      </c>
      <c r="H11" s="125"/>
      <c r="I11" s="125"/>
      <c r="J11" s="126"/>
      <c r="K11" s="123">
        <v>0.5</v>
      </c>
      <c r="L11" s="126"/>
    </row>
    <row r="12" spans="1:12" x14ac:dyDescent="0.2">
      <c r="A12" s="10" t="s">
        <v>101</v>
      </c>
      <c r="B12" s="96" t="s">
        <v>99</v>
      </c>
      <c r="C12" s="10" t="s">
        <v>100</v>
      </c>
      <c r="D12" s="88" t="s">
        <v>9</v>
      </c>
      <c r="E12" s="97">
        <v>10.42</v>
      </c>
      <c r="F12" s="88">
        <v>98.52</v>
      </c>
      <c r="G12" s="90">
        <f t="shared" si="0"/>
        <v>1125.0983999999999</v>
      </c>
      <c r="H12" s="98"/>
      <c r="I12" s="113"/>
      <c r="J12" s="10"/>
      <c r="K12" s="97">
        <v>1</v>
      </c>
      <c r="L12" s="10"/>
    </row>
    <row r="13" spans="1:12" x14ac:dyDescent="0.2">
      <c r="A13" s="121" t="s">
        <v>13</v>
      </c>
      <c r="B13" s="122" t="s">
        <v>118</v>
      </c>
      <c r="C13" s="121" t="s">
        <v>123</v>
      </c>
      <c r="D13" s="64" t="s">
        <v>9</v>
      </c>
      <c r="E13" s="123">
        <v>10.42</v>
      </c>
      <c r="F13" s="64">
        <v>135.82</v>
      </c>
      <c r="G13" s="65">
        <f t="shared" ref="G13:G35" si="1">(E13*F13)+K13*F13</f>
        <v>1686.8843999999999</v>
      </c>
      <c r="H13" s="124"/>
      <c r="I13" s="124"/>
      <c r="J13" s="121"/>
      <c r="K13" s="123">
        <v>2</v>
      </c>
      <c r="L13" s="126"/>
    </row>
    <row r="14" spans="1:12" x14ac:dyDescent="0.2">
      <c r="A14" s="94" t="s">
        <v>23</v>
      </c>
      <c r="B14" s="95" t="s">
        <v>24</v>
      </c>
      <c r="C14" s="95" t="s">
        <v>25</v>
      </c>
      <c r="D14" s="88" t="s">
        <v>9</v>
      </c>
      <c r="E14" s="99">
        <v>10.42</v>
      </c>
      <c r="F14" s="95">
        <v>21.88</v>
      </c>
      <c r="G14" s="90">
        <f t="shared" si="1"/>
        <v>227.9896</v>
      </c>
      <c r="H14" s="100"/>
      <c r="I14" s="90"/>
      <c r="J14" s="4"/>
      <c r="K14" s="93"/>
      <c r="L14" s="101"/>
    </row>
    <row r="15" spans="1:12" x14ac:dyDescent="0.2">
      <c r="A15" s="7" t="s">
        <v>36</v>
      </c>
      <c r="B15" s="9" t="s">
        <v>37</v>
      </c>
      <c r="C15" s="7" t="s">
        <v>87</v>
      </c>
      <c r="D15" s="64" t="s">
        <v>9</v>
      </c>
      <c r="E15" s="8">
        <f>10.7+1</f>
        <v>11.7</v>
      </c>
      <c r="F15" s="72">
        <v>140.91</v>
      </c>
      <c r="G15" s="65">
        <f t="shared" ref="G15:G17" si="2">(E15*F15)+K15*F15</f>
        <v>1930.4669999999999</v>
      </c>
      <c r="H15" s="8">
        <v>100</v>
      </c>
      <c r="I15" s="8"/>
      <c r="J15" s="7"/>
      <c r="K15" s="66">
        <v>2</v>
      </c>
      <c r="L15" s="78"/>
    </row>
    <row r="16" spans="1:12" x14ac:dyDescent="0.2">
      <c r="A16" s="106" t="s">
        <v>135</v>
      </c>
      <c r="B16" s="94" t="s">
        <v>90</v>
      </c>
      <c r="C16" s="4" t="s">
        <v>91</v>
      </c>
      <c r="D16" s="88" t="s">
        <v>9</v>
      </c>
      <c r="E16" s="92">
        <f>10.7+1.8</f>
        <v>12.5</v>
      </c>
      <c r="F16" s="105">
        <v>171.08</v>
      </c>
      <c r="G16" s="90">
        <f t="shared" si="2"/>
        <v>2309.58</v>
      </c>
      <c r="H16" s="92">
        <v>120</v>
      </c>
      <c r="I16" s="92"/>
      <c r="J16" s="4"/>
      <c r="K16" s="93">
        <v>1</v>
      </c>
      <c r="L16" s="102"/>
    </row>
    <row r="17" spans="1:12" x14ac:dyDescent="0.2">
      <c r="A17" s="7" t="s">
        <v>132</v>
      </c>
      <c r="B17" s="9" t="s">
        <v>73</v>
      </c>
      <c r="C17" s="7" t="s">
        <v>72</v>
      </c>
      <c r="D17" s="64" t="s">
        <v>9</v>
      </c>
      <c r="E17" s="8">
        <v>10.42</v>
      </c>
      <c r="F17" s="72">
        <v>0</v>
      </c>
      <c r="G17" s="65">
        <f t="shared" si="2"/>
        <v>0</v>
      </c>
      <c r="H17" s="112"/>
      <c r="I17" s="109"/>
      <c r="J17" s="7"/>
      <c r="K17" s="66">
        <v>1</v>
      </c>
      <c r="L17" s="79"/>
    </row>
    <row r="18" spans="1:12" ht="15" customHeight="1" x14ac:dyDescent="0.2">
      <c r="A18" s="4" t="s">
        <v>36</v>
      </c>
      <c r="B18" s="94" t="s">
        <v>105</v>
      </c>
      <c r="C18" s="4" t="s">
        <v>106</v>
      </c>
      <c r="D18" s="88" t="s">
        <v>9</v>
      </c>
      <c r="E18" s="92">
        <v>11</v>
      </c>
      <c r="F18" s="105">
        <v>211.17</v>
      </c>
      <c r="G18" s="90">
        <f t="shared" ref="G18" si="3">(E18*F18)+K18*F18</f>
        <v>2639.625</v>
      </c>
      <c r="H18" s="92">
        <v>100</v>
      </c>
      <c r="I18" s="92"/>
      <c r="J18" s="4"/>
      <c r="K18" s="93">
        <v>1.5</v>
      </c>
      <c r="L18" s="102"/>
    </row>
    <row r="19" spans="1:12" ht="18" customHeight="1" x14ac:dyDescent="0.2">
      <c r="A19" s="9" t="s">
        <v>17</v>
      </c>
      <c r="B19" s="67" t="s">
        <v>40</v>
      </c>
      <c r="C19" s="67" t="s">
        <v>20</v>
      </c>
      <c r="D19" s="64" t="s">
        <v>9</v>
      </c>
      <c r="E19" s="68">
        <v>10.42</v>
      </c>
      <c r="F19" s="69">
        <f>'Dumpling Bonus '!L8</f>
        <v>114</v>
      </c>
      <c r="G19" s="65">
        <f t="shared" si="1"/>
        <v>1187.8799999999999</v>
      </c>
      <c r="H19" s="70"/>
      <c r="I19" s="8">
        <f>+'Dumpling Bonus '!J8</f>
        <v>62.35</v>
      </c>
      <c r="J19" s="7"/>
      <c r="K19" s="66"/>
      <c r="L19" s="79"/>
    </row>
    <row r="20" spans="1:12" x14ac:dyDescent="0.2">
      <c r="A20" s="4" t="s">
        <v>17</v>
      </c>
      <c r="B20" s="94" t="s">
        <v>11</v>
      </c>
      <c r="C20" s="94" t="s">
        <v>10</v>
      </c>
      <c r="D20" s="88" t="s">
        <v>9</v>
      </c>
      <c r="E20" s="99">
        <v>11</v>
      </c>
      <c r="F20" s="103">
        <f>'Dumpling Bonus '!L7</f>
        <v>112.59</v>
      </c>
      <c r="G20" s="90">
        <f t="shared" si="1"/>
        <v>1351.08</v>
      </c>
      <c r="H20" s="104"/>
      <c r="I20" s="104"/>
      <c r="J20" s="4"/>
      <c r="K20" s="93">
        <v>1</v>
      </c>
      <c r="L20" s="101"/>
    </row>
    <row r="21" spans="1:12" ht="15" customHeight="1" x14ac:dyDescent="0.2">
      <c r="A21" s="7" t="s">
        <v>17</v>
      </c>
      <c r="B21" s="9" t="s">
        <v>65</v>
      </c>
      <c r="C21" s="9" t="s">
        <v>66</v>
      </c>
      <c r="D21" s="64" t="s">
        <v>9</v>
      </c>
      <c r="E21" s="68">
        <v>10.42</v>
      </c>
      <c r="F21" s="9">
        <v>19.34</v>
      </c>
      <c r="G21" s="65">
        <f t="shared" si="1"/>
        <v>201.52279999999999</v>
      </c>
      <c r="H21" s="71"/>
      <c r="I21" s="71"/>
      <c r="J21" s="7"/>
      <c r="K21" s="66"/>
      <c r="L21" s="79"/>
    </row>
    <row r="22" spans="1:12" x14ac:dyDescent="0.2">
      <c r="A22" s="4" t="s">
        <v>26</v>
      </c>
      <c r="B22" s="4" t="s">
        <v>28</v>
      </c>
      <c r="C22" s="4" t="s">
        <v>29</v>
      </c>
      <c r="D22" s="88" t="s">
        <v>9</v>
      </c>
      <c r="E22" s="99">
        <v>10</v>
      </c>
      <c r="F22" s="4">
        <v>187.06</v>
      </c>
      <c r="G22" s="90">
        <f t="shared" si="1"/>
        <v>2057.66</v>
      </c>
      <c r="H22" s="92">
        <v>80</v>
      </c>
      <c r="I22" s="92"/>
      <c r="J22" s="4"/>
      <c r="K22" s="93">
        <v>1</v>
      </c>
      <c r="L22" s="102"/>
    </row>
    <row r="23" spans="1:12" x14ac:dyDescent="0.2">
      <c r="A23" s="7" t="s">
        <v>36</v>
      </c>
      <c r="B23" s="7" t="s">
        <v>31</v>
      </c>
      <c r="C23" s="7" t="s">
        <v>30</v>
      </c>
      <c r="D23" s="64" t="s">
        <v>9</v>
      </c>
      <c r="E23" s="68">
        <v>10.42</v>
      </c>
      <c r="F23" s="107">
        <v>80</v>
      </c>
      <c r="G23" s="65">
        <f t="shared" si="1"/>
        <v>1073.5999999999999</v>
      </c>
      <c r="H23" s="8"/>
      <c r="I23" s="8"/>
      <c r="J23" s="7"/>
      <c r="K23" s="66">
        <v>3</v>
      </c>
      <c r="L23" s="79"/>
    </row>
    <row r="24" spans="1:12" x14ac:dyDescent="0.2">
      <c r="A24" s="4" t="s">
        <v>36</v>
      </c>
      <c r="B24" s="4" t="s">
        <v>34</v>
      </c>
      <c r="C24" s="4" t="s">
        <v>35</v>
      </c>
      <c r="D24" s="88" t="s">
        <v>9</v>
      </c>
      <c r="E24" s="99">
        <v>9</v>
      </c>
      <c r="F24" s="4">
        <v>152.74</v>
      </c>
      <c r="G24" s="90">
        <f t="shared" si="1"/>
        <v>1451.0300000000002</v>
      </c>
      <c r="H24" s="92"/>
      <c r="I24" s="92"/>
      <c r="J24" s="4"/>
      <c r="K24" s="93">
        <v>0.5</v>
      </c>
      <c r="L24" s="102"/>
    </row>
    <row r="25" spans="1:12" x14ac:dyDescent="0.2">
      <c r="A25" s="7" t="s">
        <v>36</v>
      </c>
      <c r="B25" s="9" t="s">
        <v>38</v>
      </c>
      <c r="C25" s="7" t="s">
        <v>39</v>
      </c>
      <c r="D25" s="64" t="s">
        <v>9</v>
      </c>
      <c r="E25" s="8">
        <v>8.5</v>
      </c>
      <c r="F25" s="72">
        <v>136.25</v>
      </c>
      <c r="G25" s="65">
        <f t="shared" si="1"/>
        <v>1226.25</v>
      </c>
      <c r="H25" s="8"/>
      <c r="I25" s="8"/>
      <c r="J25" s="7"/>
      <c r="K25" s="66">
        <v>0.5</v>
      </c>
      <c r="L25" s="79"/>
    </row>
    <row r="26" spans="1:12" ht="17" customHeight="1" x14ac:dyDescent="0.2">
      <c r="A26" s="4" t="s">
        <v>36</v>
      </c>
      <c r="B26" s="94" t="s">
        <v>70</v>
      </c>
      <c r="C26" s="4" t="s">
        <v>71</v>
      </c>
      <c r="D26" s="88" t="s">
        <v>9</v>
      </c>
      <c r="E26" s="92">
        <v>9</v>
      </c>
      <c r="F26" s="105">
        <v>108.14</v>
      </c>
      <c r="G26" s="90">
        <f t="shared" si="1"/>
        <v>1081.4000000000001</v>
      </c>
      <c r="H26" s="92"/>
      <c r="I26" s="92"/>
      <c r="J26" s="4"/>
      <c r="K26" s="93">
        <v>1</v>
      </c>
      <c r="L26" s="102" t="s">
        <v>122</v>
      </c>
    </row>
    <row r="27" spans="1:12" x14ac:dyDescent="0.2">
      <c r="A27" s="7" t="s">
        <v>17</v>
      </c>
      <c r="B27" s="9" t="s">
        <v>74</v>
      </c>
      <c r="C27" s="7" t="s">
        <v>75</v>
      </c>
      <c r="D27" s="64" t="s">
        <v>9</v>
      </c>
      <c r="E27" s="8">
        <v>10.42</v>
      </c>
      <c r="F27" s="72">
        <v>252.13</v>
      </c>
      <c r="G27" s="65">
        <f t="shared" si="1"/>
        <v>2627.1945999999998</v>
      </c>
      <c r="H27" s="8">
        <v>80</v>
      </c>
      <c r="I27" s="8" t="s">
        <v>104</v>
      </c>
      <c r="J27" s="7"/>
      <c r="K27" s="66"/>
      <c r="L27" s="79"/>
    </row>
    <row r="28" spans="1:12" ht="15" customHeight="1" x14ac:dyDescent="0.2">
      <c r="A28" s="4" t="s">
        <v>17</v>
      </c>
      <c r="B28" s="94" t="s">
        <v>116</v>
      </c>
      <c r="C28" s="4" t="s">
        <v>117</v>
      </c>
      <c r="D28" s="88" t="s">
        <v>9</v>
      </c>
      <c r="E28" s="92">
        <v>8.5</v>
      </c>
      <c r="F28" s="105">
        <v>22.65</v>
      </c>
      <c r="G28" s="90">
        <f t="shared" si="1"/>
        <v>203.84999999999997</v>
      </c>
      <c r="H28" s="92"/>
      <c r="I28" s="92"/>
      <c r="J28" s="4"/>
      <c r="K28" s="93">
        <v>0.5</v>
      </c>
      <c r="L28" s="102" t="s">
        <v>122</v>
      </c>
    </row>
    <row r="29" spans="1:12" x14ac:dyDescent="0.2">
      <c r="A29" s="7" t="s">
        <v>36</v>
      </c>
      <c r="B29" s="9" t="s">
        <v>84</v>
      </c>
      <c r="C29" s="7" t="s">
        <v>82</v>
      </c>
      <c r="D29" s="64" t="s">
        <v>9</v>
      </c>
      <c r="E29" s="8">
        <v>10.42</v>
      </c>
      <c r="F29" s="72">
        <v>75.47</v>
      </c>
      <c r="G29" s="65">
        <f t="shared" si="1"/>
        <v>937.33739999999989</v>
      </c>
      <c r="H29" s="8"/>
      <c r="I29" s="8"/>
      <c r="J29" s="7"/>
      <c r="K29" s="66">
        <v>2</v>
      </c>
      <c r="L29" s="79"/>
    </row>
    <row r="30" spans="1:12" x14ac:dyDescent="0.2">
      <c r="A30" s="4" t="s">
        <v>36</v>
      </c>
      <c r="B30" s="94" t="s">
        <v>85</v>
      </c>
      <c r="C30" s="4" t="s">
        <v>83</v>
      </c>
      <c r="D30" s="88" t="s">
        <v>9</v>
      </c>
      <c r="E30" s="92">
        <v>10.42</v>
      </c>
      <c r="F30" s="105">
        <v>83.94</v>
      </c>
      <c r="G30" s="90">
        <f t="shared" si="1"/>
        <v>1042.5347999999999</v>
      </c>
      <c r="H30" s="92"/>
      <c r="I30" s="92"/>
      <c r="J30" s="4"/>
      <c r="K30" s="93">
        <v>2</v>
      </c>
      <c r="L30" s="101"/>
    </row>
    <row r="31" spans="1:12" x14ac:dyDescent="0.2">
      <c r="A31" s="87" t="s">
        <v>36</v>
      </c>
      <c r="B31" s="131" t="s">
        <v>88</v>
      </c>
      <c r="C31" s="131" t="s">
        <v>89</v>
      </c>
      <c r="D31" s="132" t="s">
        <v>9</v>
      </c>
      <c r="E31" s="133">
        <v>11.42</v>
      </c>
      <c r="F31" s="134">
        <v>187.34</v>
      </c>
      <c r="G31" s="65">
        <f t="shared" si="1"/>
        <v>2139.4227999999998</v>
      </c>
      <c r="H31" s="133"/>
      <c r="I31" s="133"/>
      <c r="J31" s="131"/>
      <c r="K31" s="135"/>
      <c r="L31" s="136"/>
    </row>
    <row r="32" spans="1:12" x14ac:dyDescent="0.2">
      <c r="A32" s="4" t="s">
        <v>36</v>
      </c>
      <c r="B32" s="94" t="s">
        <v>96</v>
      </c>
      <c r="C32" s="4" t="s">
        <v>97</v>
      </c>
      <c r="D32" s="88" t="s">
        <v>9</v>
      </c>
      <c r="E32" s="92">
        <v>10.42</v>
      </c>
      <c r="F32" s="105">
        <v>51</v>
      </c>
      <c r="G32" s="90">
        <f t="shared" si="1"/>
        <v>607.91999999999996</v>
      </c>
      <c r="H32" s="92"/>
      <c r="I32" s="92"/>
      <c r="J32" s="4"/>
      <c r="K32" s="93">
        <v>1.5</v>
      </c>
      <c r="L32" s="101"/>
    </row>
    <row r="33" spans="1:12" x14ac:dyDescent="0.2">
      <c r="A33" s="7" t="s">
        <v>36</v>
      </c>
      <c r="B33" s="9" t="s">
        <v>124</v>
      </c>
      <c r="C33" s="7" t="s">
        <v>125</v>
      </c>
      <c r="D33" s="64" t="s">
        <v>9</v>
      </c>
      <c r="E33" s="8">
        <v>10</v>
      </c>
      <c r="F33" s="72">
        <v>38.840000000000003</v>
      </c>
      <c r="G33" s="65">
        <f t="shared" si="1"/>
        <v>407.82000000000005</v>
      </c>
      <c r="H33" s="8"/>
      <c r="I33" s="8"/>
      <c r="J33" s="7"/>
      <c r="K33" s="66">
        <v>0.5</v>
      </c>
      <c r="L33" s="79" t="s">
        <v>109</v>
      </c>
    </row>
    <row r="34" spans="1:12" x14ac:dyDescent="0.2">
      <c r="A34" s="4" t="s">
        <v>36</v>
      </c>
      <c r="B34" s="94" t="s">
        <v>126</v>
      </c>
      <c r="C34" s="4" t="s">
        <v>127</v>
      </c>
      <c r="D34" s="88" t="s">
        <v>9</v>
      </c>
      <c r="E34" s="92">
        <v>9.5</v>
      </c>
      <c r="F34" s="105">
        <v>82.25</v>
      </c>
      <c r="G34" s="90">
        <f t="shared" si="1"/>
        <v>822.5</v>
      </c>
      <c r="H34" s="92"/>
      <c r="I34" s="92"/>
      <c r="J34" s="4"/>
      <c r="K34" s="93">
        <v>0.5</v>
      </c>
      <c r="L34" s="101" t="s">
        <v>109</v>
      </c>
    </row>
    <row r="35" spans="1:12" x14ac:dyDescent="0.2">
      <c r="A35" s="7" t="s">
        <v>36</v>
      </c>
      <c r="B35" s="9" t="s">
        <v>115</v>
      </c>
      <c r="C35" s="7" t="s">
        <v>121</v>
      </c>
      <c r="D35" s="64" t="s">
        <v>9</v>
      </c>
      <c r="E35" s="8">
        <v>9</v>
      </c>
      <c r="F35" s="72">
        <v>146.13999999999999</v>
      </c>
      <c r="G35" s="65">
        <f t="shared" si="1"/>
        <v>1388.3299999999997</v>
      </c>
      <c r="H35" s="8"/>
      <c r="I35" s="8"/>
      <c r="J35" s="7"/>
      <c r="K35" s="66">
        <v>0.5</v>
      </c>
      <c r="L35" s="78"/>
    </row>
    <row r="36" spans="1:12" ht="17" thickBot="1" x14ac:dyDescent="0.25">
      <c r="A36" s="18"/>
      <c r="B36" s="80"/>
      <c r="C36" s="18"/>
      <c r="D36" s="81"/>
      <c r="E36" s="82"/>
      <c r="F36" s="83"/>
      <c r="G36" s="84">
        <f>SUM(G4:G35)</f>
        <v>42181.736799999991</v>
      </c>
      <c r="H36" s="84">
        <f>SUM(H14:H35)</f>
        <v>480</v>
      </c>
      <c r="I36" s="85">
        <f>SUM(I19:I21)</f>
        <v>62.35</v>
      </c>
      <c r="J36" s="18"/>
      <c r="K36" s="86"/>
      <c r="L36" s="18"/>
    </row>
    <row r="37" spans="1:12" ht="17" thickTop="1" x14ac:dyDescent="0.2"/>
    <row r="43" spans="1:12" x14ac:dyDescent="0.2">
      <c r="I43" s="2" t="e" cm="1">
        <f t="array" ref="I43">5*tr</f>
        <v>#NAME?</v>
      </c>
    </row>
    <row r="58" spans="3:3" x14ac:dyDescent="0.2">
      <c r="C58" s="2">
        <f>2*3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"/>
  <sheetViews>
    <sheetView workbookViewId="0">
      <selection activeCell="E7" sqref="E7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7" x14ac:dyDescent="0.2">
      <c r="C1" s="2" t="str">
        <f>+SUMMARY!A7</f>
        <v>PAYROLL  24th th of April to 21st of May UGLY DUMPLING  TEAM</v>
      </c>
    </row>
    <row r="3" spans="1:7" x14ac:dyDescent="0.2">
      <c r="A3" s="116" t="s">
        <v>6</v>
      </c>
      <c r="B3" s="116"/>
      <c r="C3" s="116"/>
      <c r="D3" s="116"/>
      <c r="E3" s="116"/>
      <c r="F3" s="116"/>
      <c r="G3" s="116"/>
    </row>
    <row r="4" spans="1:7" ht="24" x14ac:dyDescent="0.3">
      <c r="A4" s="117"/>
      <c r="B4" s="117"/>
      <c r="C4" s="117"/>
      <c r="D4" s="117"/>
      <c r="E4" s="117"/>
      <c r="F4" s="117"/>
      <c r="G4" s="117"/>
    </row>
    <row r="5" spans="1:7" x14ac:dyDescent="0.2">
      <c r="A5" s="76" t="s">
        <v>1</v>
      </c>
      <c r="B5" s="76" t="s">
        <v>2</v>
      </c>
      <c r="C5" s="76" t="s">
        <v>3</v>
      </c>
      <c r="D5" s="76" t="s">
        <v>4</v>
      </c>
      <c r="E5" s="76" t="s">
        <v>5</v>
      </c>
      <c r="F5" s="76" t="s">
        <v>7</v>
      </c>
      <c r="G5" s="76" t="s">
        <v>79</v>
      </c>
    </row>
    <row r="6" spans="1:7" x14ac:dyDescent="0.2">
      <c r="A6" s="21" t="s">
        <v>70</v>
      </c>
      <c r="B6" s="11"/>
      <c r="C6" s="11"/>
      <c r="D6" s="73">
        <f>+'FOH&amp;BOH '!E26</f>
        <v>9</v>
      </c>
      <c r="E6" s="127">
        <f>13*8</f>
        <v>104</v>
      </c>
      <c r="F6" s="74">
        <f>+D6*E6</f>
        <v>936</v>
      </c>
      <c r="G6" s="128" t="s">
        <v>120</v>
      </c>
    </row>
    <row r="7" spans="1:7" x14ac:dyDescent="0.2">
      <c r="A7" s="21"/>
      <c r="B7" s="11"/>
      <c r="C7" s="11"/>
      <c r="D7" s="73"/>
      <c r="E7" s="127"/>
      <c r="F7" s="74">
        <f t="shared" ref="F7:F14" si="0">+D7*E7</f>
        <v>0</v>
      </c>
      <c r="G7" s="128"/>
    </row>
    <row r="8" spans="1:7" x14ac:dyDescent="0.2">
      <c r="A8" s="21"/>
      <c r="B8" s="11"/>
      <c r="C8" s="11"/>
      <c r="D8" s="73"/>
      <c r="E8" s="127"/>
      <c r="F8" s="74">
        <f t="shared" si="0"/>
        <v>0</v>
      </c>
      <c r="G8" s="128"/>
    </row>
    <row r="9" spans="1:7" x14ac:dyDescent="0.2">
      <c r="A9" s="21"/>
      <c r="B9" s="11"/>
      <c r="C9" s="11"/>
      <c r="D9" s="73"/>
      <c r="E9" s="127"/>
      <c r="F9" s="74">
        <f t="shared" si="0"/>
        <v>0</v>
      </c>
      <c r="G9" s="128"/>
    </row>
    <row r="10" spans="1:7" x14ac:dyDescent="0.2">
      <c r="A10" s="21"/>
      <c r="B10" s="11"/>
      <c r="C10" s="11"/>
      <c r="D10" s="73"/>
      <c r="E10" s="127"/>
      <c r="F10" s="74">
        <f t="shared" si="0"/>
        <v>0</v>
      </c>
      <c r="G10" s="128"/>
    </row>
    <row r="11" spans="1:7" x14ac:dyDescent="0.2">
      <c r="A11" s="21"/>
      <c r="B11" s="11"/>
      <c r="C11" s="11"/>
      <c r="D11" s="73"/>
      <c r="E11" s="127"/>
      <c r="F11" s="74">
        <f t="shared" si="0"/>
        <v>0</v>
      </c>
      <c r="G11" s="128"/>
    </row>
    <row r="12" spans="1:7" ht="15" customHeight="1" x14ac:dyDescent="0.2">
      <c r="A12" s="21"/>
      <c r="B12" s="11"/>
      <c r="C12" s="11"/>
      <c r="D12" s="73"/>
      <c r="E12" s="127"/>
      <c r="F12" s="74">
        <f t="shared" si="0"/>
        <v>0</v>
      </c>
      <c r="G12" s="128"/>
    </row>
    <row r="13" spans="1:7" x14ac:dyDescent="0.2">
      <c r="A13" s="21"/>
      <c r="B13" s="11"/>
      <c r="C13" s="11"/>
      <c r="D13" s="73"/>
      <c r="E13" s="127"/>
      <c r="F13" s="74">
        <f t="shared" si="0"/>
        <v>0</v>
      </c>
      <c r="G13" s="128"/>
    </row>
    <row r="14" spans="1:7" x14ac:dyDescent="0.2">
      <c r="A14" s="21"/>
      <c r="B14" s="11"/>
      <c r="C14" s="11"/>
      <c r="D14" s="73"/>
      <c r="E14" s="127"/>
      <c r="F14" s="74">
        <f t="shared" si="0"/>
        <v>0</v>
      </c>
      <c r="G14" s="129"/>
    </row>
    <row r="15" spans="1:7" ht="17" thickBot="1" x14ac:dyDescent="0.25">
      <c r="A15" s="5" t="s">
        <v>7</v>
      </c>
      <c r="B15" s="6"/>
      <c r="C15" s="6"/>
      <c r="D15" s="6"/>
      <c r="E15" s="6"/>
      <c r="F15" s="111">
        <f>+SUM(F6:F14)</f>
        <v>936</v>
      </c>
      <c r="G15" s="75"/>
    </row>
    <row r="16" spans="1:7" ht="17" thickTop="1" x14ac:dyDescent="0.2">
      <c r="A16" s="14"/>
      <c r="B16" s="12"/>
      <c r="C16" s="12"/>
      <c r="D16" s="12"/>
      <c r="E16" s="12"/>
      <c r="F16" s="15"/>
      <c r="G16" s="3"/>
    </row>
    <row r="17" spans="1:9" x14ac:dyDescent="0.2">
      <c r="A17" s="116"/>
      <c r="B17" s="116"/>
      <c r="C17" s="116"/>
      <c r="D17" s="116"/>
      <c r="E17" s="116"/>
      <c r="F17" s="116"/>
      <c r="G17" s="116"/>
      <c r="H17" s="4"/>
      <c r="I17" s="3"/>
    </row>
  </sheetData>
  <mergeCells count="3">
    <mergeCell ref="A17:G17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26" sqref="B26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24th th of April to 21st of May UGLY DUMPLING  TEAM</v>
      </c>
    </row>
    <row r="2" spans="1:12" x14ac:dyDescent="0.2">
      <c r="A2" s="24" t="s">
        <v>12</v>
      </c>
      <c r="B2" s="24"/>
    </row>
    <row r="4" spans="1:12" x14ac:dyDescent="0.2">
      <c r="A4" s="34"/>
      <c r="B4" s="35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x14ac:dyDescent="0.2">
      <c r="A5" s="34"/>
      <c r="B5" s="35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 x14ac:dyDescent="0.2">
      <c r="A6" s="34"/>
      <c r="B6" s="35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x14ac:dyDescent="0.2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7"/>
    </row>
    <row r="8" spans="1:12" x14ac:dyDescent="0.2">
      <c r="A8" s="34"/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2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2">
      <c r="A10" s="3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s="40" customFormat="1" ht="20" customHeight="1" x14ac:dyDescent="0.25">
      <c r="A11" s="38"/>
      <c r="B11" s="52" t="s">
        <v>86</v>
      </c>
      <c r="C11" s="52" t="s">
        <v>77</v>
      </c>
      <c r="D11" s="52"/>
      <c r="E11" s="52" t="s">
        <v>102</v>
      </c>
      <c r="F11" s="52" t="s">
        <v>18</v>
      </c>
      <c r="G11" s="52" t="s">
        <v>19</v>
      </c>
      <c r="H11" s="52" t="s">
        <v>81</v>
      </c>
      <c r="I11" s="52" t="s">
        <v>27</v>
      </c>
      <c r="J11" s="52" t="s">
        <v>119</v>
      </c>
      <c r="K11" s="52" t="s">
        <v>76</v>
      </c>
      <c r="L11" s="39"/>
    </row>
    <row r="12" spans="1:12" x14ac:dyDescent="0.2">
      <c r="A12" s="41"/>
      <c r="B12" s="59" t="s">
        <v>126</v>
      </c>
      <c r="C12" s="42" t="s">
        <v>133</v>
      </c>
      <c r="D12" s="42"/>
      <c r="E12" s="51" t="s">
        <v>134</v>
      </c>
      <c r="F12" s="43" t="s">
        <v>128</v>
      </c>
      <c r="G12" s="44"/>
      <c r="H12" s="45"/>
      <c r="I12" s="26"/>
      <c r="J12" s="26"/>
      <c r="K12" s="26"/>
      <c r="L12" s="46"/>
    </row>
    <row r="13" spans="1:12" x14ac:dyDescent="0.2">
      <c r="A13" s="41"/>
      <c r="B13" s="61" t="s">
        <v>124</v>
      </c>
      <c r="C13" s="29" t="s">
        <v>129</v>
      </c>
      <c r="D13" s="29"/>
      <c r="E13" s="33" t="s">
        <v>130</v>
      </c>
      <c r="F13" s="32" t="s">
        <v>131</v>
      </c>
      <c r="G13" s="30"/>
      <c r="H13" s="31"/>
      <c r="I13" s="27"/>
      <c r="J13" s="27"/>
      <c r="K13" s="27"/>
      <c r="L13" s="46"/>
    </row>
    <row r="14" spans="1:12" x14ac:dyDescent="0.2">
      <c r="A14" s="41"/>
      <c r="B14" s="59"/>
      <c r="C14" s="42"/>
      <c r="D14" s="42"/>
      <c r="E14" s="48"/>
      <c r="F14" s="47"/>
      <c r="G14" s="44"/>
      <c r="H14" s="45"/>
      <c r="I14" s="26"/>
      <c r="J14" s="26"/>
      <c r="K14" s="26"/>
      <c r="L14" s="46"/>
    </row>
    <row r="15" spans="1:12" x14ac:dyDescent="0.2">
      <c r="A15" s="41"/>
      <c r="B15" s="61"/>
      <c r="C15" s="29"/>
      <c r="D15" s="29"/>
      <c r="E15" s="33"/>
      <c r="F15" s="32"/>
      <c r="G15" s="30"/>
      <c r="H15" s="31"/>
      <c r="I15" s="27"/>
      <c r="J15" s="27"/>
      <c r="K15" s="27"/>
      <c r="L15" s="46"/>
    </row>
    <row r="16" spans="1:12" x14ac:dyDescent="0.2">
      <c r="A16" s="41"/>
      <c r="B16" s="59"/>
      <c r="D16" s="42"/>
      <c r="E16" s="48"/>
      <c r="F16" s="55"/>
      <c r="G16" s="44"/>
      <c r="H16" s="45"/>
      <c r="I16" s="26"/>
      <c r="J16" s="26"/>
      <c r="K16" s="26"/>
      <c r="L16" s="46"/>
    </row>
    <row r="17" spans="1:12" x14ac:dyDescent="0.2">
      <c r="A17" s="34"/>
      <c r="B17" s="61"/>
      <c r="C17" s="29"/>
      <c r="D17" s="29"/>
      <c r="E17" s="33"/>
      <c r="F17" s="32"/>
      <c r="G17" s="30"/>
      <c r="H17" s="31"/>
      <c r="I17" s="27"/>
      <c r="J17" s="27"/>
      <c r="K17" s="27"/>
      <c r="L17" s="46"/>
    </row>
    <row r="18" spans="1:12" x14ac:dyDescent="0.2">
      <c r="A18" s="36"/>
      <c r="B18" s="59"/>
      <c r="C18" s="42"/>
      <c r="D18" s="50"/>
      <c r="E18" s="51"/>
      <c r="F18" s="43"/>
      <c r="G18" s="44"/>
      <c r="H18" s="45"/>
      <c r="I18" s="26"/>
      <c r="J18" s="58"/>
      <c r="K18" s="26"/>
      <c r="L18" s="46"/>
    </row>
    <row r="19" spans="1:12" x14ac:dyDescent="0.2">
      <c r="A19" s="34"/>
      <c r="B19" s="61"/>
      <c r="C19" s="29"/>
      <c r="D19" s="29"/>
      <c r="E19" s="33"/>
      <c r="F19" s="32"/>
      <c r="G19" s="30"/>
      <c r="H19" s="27"/>
      <c r="I19" s="27"/>
      <c r="J19" s="27"/>
      <c r="K19" s="27"/>
      <c r="L19" s="46"/>
    </row>
    <row r="20" spans="1:12" x14ac:dyDescent="0.2">
      <c r="A20" s="34"/>
      <c r="B20" s="59"/>
      <c r="C20" s="42"/>
      <c r="D20" s="42"/>
      <c r="E20" s="48"/>
      <c r="F20" s="47"/>
      <c r="G20" s="44"/>
      <c r="H20" s="26"/>
      <c r="I20" s="26"/>
      <c r="J20" s="26"/>
      <c r="K20" s="26"/>
      <c r="L20" s="46"/>
    </row>
    <row r="21" spans="1:12" x14ac:dyDescent="0.2">
      <c r="A21" s="36"/>
      <c r="B21" s="61"/>
      <c r="C21" s="29"/>
      <c r="D21" s="29"/>
      <c r="E21" s="33"/>
      <c r="F21" s="32"/>
      <c r="G21" s="1"/>
      <c r="H21" s="27"/>
      <c r="I21" s="27"/>
      <c r="J21" s="27"/>
      <c r="K21" s="27"/>
      <c r="L21" s="26"/>
    </row>
    <row r="22" spans="1:12" x14ac:dyDescent="0.2">
      <c r="A22" s="36"/>
      <c r="B22" s="59"/>
      <c r="C22" s="36"/>
      <c r="D22" s="36"/>
      <c r="E22" s="56"/>
      <c r="F22" s="57"/>
      <c r="H22" s="36"/>
      <c r="I22" s="36"/>
      <c r="J22" s="36"/>
      <c r="K22" s="36"/>
      <c r="L22" s="36"/>
    </row>
    <row r="23" spans="1:12" x14ac:dyDescent="0.2">
      <c r="B23" s="62"/>
      <c r="C23" s="16"/>
      <c r="D23" s="16"/>
      <c r="E23" s="63"/>
      <c r="F23" s="63"/>
      <c r="G23" s="16"/>
      <c r="H23" s="16"/>
      <c r="I23" s="16"/>
      <c r="J23" s="16"/>
      <c r="K23" s="16"/>
    </row>
    <row r="24" spans="1:12" x14ac:dyDescent="0.2">
      <c r="B24" s="60"/>
      <c r="E24" s="49"/>
      <c r="F24" s="55"/>
    </row>
    <row r="25" spans="1:12" x14ac:dyDescent="0.2">
      <c r="B25" s="62"/>
      <c r="C25" s="16"/>
      <c r="D25" s="16"/>
      <c r="E25" s="63"/>
      <c r="F25" s="63"/>
      <c r="G25" s="16"/>
      <c r="H25" s="16"/>
      <c r="I25" s="16"/>
      <c r="J25" s="16"/>
      <c r="K25" s="16"/>
    </row>
    <row r="26" spans="1:12" x14ac:dyDescent="0.2">
      <c r="B26" s="60"/>
      <c r="E26" s="55"/>
      <c r="F26" s="5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2" workbookViewId="0">
      <selection activeCell="G8" sqref="G8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60</v>
      </c>
      <c r="D6" s="2" t="s">
        <v>52</v>
      </c>
      <c r="E6" s="2" t="s">
        <v>61</v>
      </c>
      <c r="F6" s="2" t="s">
        <v>64</v>
      </c>
      <c r="G6" s="2" t="s">
        <v>62</v>
      </c>
      <c r="I6" s="2" t="s">
        <v>63</v>
      </c>
      <c r="J6" s="2" t="s">
        <v>55</v>
      </c>
      <c r="K6" s="2" t="s">
        <v>78</v>
      </c>
      <c r="L6" s="2" t="s">
        <v>67</v>
      </c>
    </row>
    <row r="7" spans="1:12" x14ac:dyDescent="0.2">
      <c r="B7" s="2" t="s">
        <v>50</v>
      </c>
      <c r="C7" s="2">
        <v>192.59</v>
      </c>
      <c r="D7" s="2">
        <f>90*70</f>
        <v>6300</v>
      </c>
      <c r="E7" s="2">
        <v>15693</v>
      </c>
      <c r="F7" s="2">
        <f>E7-D7</f>
        <v>9393</v>
      </c>
      <c r="G7" s="2">
        <f>C7-B16</f>
        <v>112.59</v>
      </c>
      <c r="H7" s="2">
        <f>G7*$B$14</f>
        <v>8444.25</v>
      </c>
      <c r="I7" s="2">
        <f>F7-H7</f>
        <v>948.75</v>
      </c>
      <c r="J7" s="25">
        <f>I7*$B$13</f>
        <v>47.4375</v>
      </c>
      <c r="K7" s="53">
        <f>J7/G7</f>
        <v>0.42132960298427924</v>
      </c>
      <c r="L7" s="28">
        <f>C7-B16</f>
        <v>112.59</v>
      </c>
    </row>
    <row r="8" spans="1:12" ht="17" customHeight="1" x14ac:dyDescent="0.2">
      <c r="B8" s="2" t="s">
        <v>51</v>
      </c>
      <c r="C8" s="2">
        <v>194</v>
      </c>
      <c r="D8" s="2">
        <f>$B$15*B17</f>
        <v>7200</v>
      </c>
      <c r="E8" s="2">
        <v>16997</v>
      </c>
      <c r="F8" s="2">
        <f t="shared" ref="F8:F11" si="0">E8-D8</f>
        <v>9797</v>
      </c>
      <c r="G8" s="2">
        <f t="shared" ref="G8:G11" si="1">C8-B17</f>
        <v>114</v>
      </c>
      <c r="H8" s="2">
        <f t="shared" ref="H8:H10" si="2">G8*$B$14</f>
        <v>8550</v>
      </c>
      <c r="I8" s="2">
        <f t="shared" ref="I8:I11" si="3">F8-H8</f>
        <v>1247</v>
      </c>
      <c r="J8" s="25">
        <f t="shared" ref="J8:J10" si="4">I8*$B$13</f>
        <v>62.35</v>
      </c>
      <c r="K8" s="54">
        <f>J8/G8</f>
        <v>0.54692982456140349</v>
      </c>
      <c r="L8" s="28">
        <f>C8-B17</f>
        <v>114</v>
      </c>
    </row>
    <row r="9" spans="1:12" ht="17" customHeight="1" x14ac:dyDescent="0.2">
      <c r="J9" s="25"/>
      <c r="K9" s="54"/>
      <c r="L9" s="28"/>
    </row>
    <row r="10" spans="1:12" ht="17" customHeight="1" x14ac:dyDescent="0.2">
      <c r="J10" s="25"/>
      <c r="K10" s="54"/>
      <c r="L10" s="28"/>
    </row>
    <row r="12" spans="1:12" x14ac:dyDescent="0.2">
      <c r="A12" s="110" t="s">
        <v>56</v>
      </c>
    </row>
    <row r="13" spans="1:12" x14ac:dyDescent="0.2">
      <c r="A13" s="2" t="s">
        <v>57</v>
      </c>
      <c r="B13" s="2">
        <v>0.05</v>
      </c>
    </row>
    <row r="14" spans="1:12" x14ac:dyDescent="0.2">
      <c r="A14" s="2" t="s">
        <v>58</v>
      </c>
      <c r="B14" s="2">
        <v>75</v>
      </c>
    </row>
    <row r="15" spans="1:12" x14ac:dyDescent="0.2">
      <c r="A15" s="2" t="s">
        <v>59</v>
      </c>
      <c r="B15" s="2">
        <v>90</v>
      </c>
    </row>
    <row r="16" spans="1:12" x14ac:dyDescent="0.2">
      <c r="A16" s="24" t="s">
        <v>54</v>
      </c>
      <c r="B16" s="2">
        <v>80</v>
      </c>
      <c r="C16" s="2" t="s">
        <v>103</v>
      </c>
    </row>
    <row r="17" spans="1:7" x14ac:dyDescent="0.2">
      <c r="A17" s="24" t="s">
        <v>53</v>
      </c>
      <c r="B17" s="2">
        <v>80</v>
      </c>
    </row>
    <row r="18" spans="1:7" x14ac:dyDescent="0.2">
      <c r="A18" s="24"/>
      <c r="B18" s="2">
        <v>0</v>
      </c>
    </row>
    <row r="19" spans="1:7" x14ac:dyDescent="0.2">
      <c r="A19" s="2" t="s">
        <v>74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2023-07-24T11:05:27Z</dcterms:modified>
</cp:coreProperties>
</file>