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"/>
    </mc:Choice>
  </mc:AlternateContent>
  <xr:revisionPtr revIDLastSave="0" documentId="13_ncr:1_{F8B2C481-686C-4D45-9954-6F53B4341A24}" xr6:coauthVersionLast="47" xr6:coauthVersionMax="47" xr10:uidLastSave="{00000000-0000-0000-0000-000000000000}"/>
  <bookViews>
    <workbookView xWindow="0" yWindow="680" windowWidth="28800" windowHeight="16480" tabRatio="500" xr2:uid="{00000000-000D-0000-FFFF-FFFF00000000}"/>
  </bookViews>
  <sheets>
    <sheet name="FOH&amp;BOH " sheetId="8" r:id="rId1"/>
    <sheet name="SUMMARY" sheetId="3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2">'HOLIDAYS AND NOTES'!$A$4:$F$12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3" i="8" l="1"/>
  <c r="G23" i="8"/>
  <c r="F6" i="2"/>
  <c r="E6" i="2"/>
  <c r="H30" i="8" l="1"/>
  <c r="F22" i="8"/>
  <c r="G22" i="8" s="1"/>
  <c r="F38" i="8"/>
  <c r="H20" i="8"/>
  <c r="H43" i="8" s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7" i="8"/>
  <c r="G18" i="8"/>
  <c r="G19" i="8"/>
  <c r="G20" i="8"/>
  <c r="G21" i="8"/>
  <c r="G24" i="8"/>
  <c r="G25" i="8"/>
  <c r="G27" i="8"/>
  <c r="G28" i="8"/>
  <c r="G29" i="8"/>
  <c r="G30" i="8"/>
  <c r="G31" i="8"/>
  <c r="G32" i="8"/>
  <c r="G33" i="8"/>
  <c r="G34" i="8"/>
  <c r="G36" i="8"/>
  <c r="G37" i="8"/>
  <c r="G38" i="8"/>
  <c r="G39" i="8"/>
  <c r="G40" i="8"/>
  <c r="G41" i="8"/>
  <c r="G42" i="8"/>
  <c r="H4" i="8"/>
  <c r="H5" i="8"/>
  <c r="H2" i="8"/>
  <c r="G2" i="8"/>
  <c r="C65" i="8"/>
  <c r="I50" i="8" a="1"/>
  <c r="I50" i="8" s="1"/>
  <c r="F35" i="8"/>
  <c r="G35" i="8" s="1"/>
  <c r="F30" i="8"/>
  <c r="F26" i="8"/>
  <c r="G26" i="8" s="1"/>
  <c r="I22" i="8"/>
  <c r="I43" i="8" s="1"/>
  <c r="D8" i="6"/>
  <c r="D7" i="6" l="1"/>
  <c r="C15" i="3"/>
  <c r="L7" i="6" l="1"/>
  <c r="F7" i="6" l="1"/>
  <c r="G7" i="6" l="1"/>
  <c r="H7" i="6" s="1"/>
  <c r="I7" i="6" s="1"/>
  <c r="L8" i="6" l="1"/>
  <c r="G8" i="6" l="1"/>
  <c r="F8" i="6"/>
  <c r="H8" i="6" l="1"/>
  <c r="I8" i="6" s="1"/>
  <c r="J7" i="6"/>
  <c r="C14" i="3" l="1"/>
  <c r="C16" i="3"/>
  <c r="K8" i="6"/>
  <c r="K7" i="6" l="1"/>
  <c r="F10" i="2"/>
  <c r="C17" i="3" s="1"/>
  <c r="B1" i="4"/>
  <c r="C1" i="2"/>
  <c r="C1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<sst xmlns="http://schemas.openxmlformats.org/spreadsheetml/2006/main" count="253" uniqueCount="176">
  <si>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</si>
  <si>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</si>
  <si>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</si>
  <si>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</si>
  <si>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</si>
  <si>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</si>
  <si>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</si>
  <si>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</si>
  <si>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</si>
  <si>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</si>
  <si>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</si>
  <si>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</si>
  <si>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</si>
  <si>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</si>
  <si>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</si>
  <si>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>Waitress</t>
  </si>
  <si>
    <t xml:space="preserve">Kitchen Manager </t>
  </si>
  <si>
    <t>HOLIDAYS TOTAL</t>
  </si>
  <si>
    <t xml:space="preserve">DUMPLING BONUS 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</si>
  <si>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</si>
  <si>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</si>
  <si>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</si>
  <si>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</si>
  <si>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</si>
  <si>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 xml:space="preserve">Jean Carlos </t>
  </si>
  <si>
    <t>Garcia Gonzalez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</si>
  <si>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</si>
  <si>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</si>
  <si>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</si>
  <si>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</si>
  <si>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</si>
  <si>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</si>
  <si>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</si>
  <si>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</si>
  <si>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</si>
  <si>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</si>
  <si>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</si>
  <si>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</si>
  <si>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</si>
  <si>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</si>
  <si>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Sergio</t>
  </si>
  <si>
    <t>Ferrerosa</t>
  </si>
  <si>
    <t>Naomi Jhuliana</t>
  </si>
  <si>
    <t>Vallejos</t>
  </si>
  <si>
    <t xml:space="preserve">Junior chef </t>
  </si>
  <si>
    <t>Heidy</t>
  </si>
  <si>
    <t xml:space="preserve"> Share Code</t>
  </si>
  <si>
    <t xml:space="preserve">Leonor </t>
  </si>
  <si>
    <t xml:space="preserve">Ferreira </t>
  </si>
  <si>
    <t>Wai Pink (Jess)</t>
  </si>
  <si>
    <t>Pay Comp. Description</t>
  </si>
  <si>
    <t>Pay</t>
  </si>
  <si>
    <t>Bonus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</si>
  <si>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</si>
  <si>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</si>
  <si>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</si>
  <si>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</si>
  <si>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</si>
  <si>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</si>
  <si>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</si>
  <si>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</si>
  <si>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</si>
  <si>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</si>
  <si>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</si>
  <si>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</si>
  <si>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</si>
  <si>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</si>
  <si>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</si>
  <si>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</si>
  <si>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</si>
  <si>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</si>
  <si>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</si>
  <si>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</si>
  <si>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</si>
  <si>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</si>
  <si>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Karina </t>
  </si>
  <si>
    <t xml:space="preserve">Kavdanska 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</si>
  <si>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</si>
  <si>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</si>
  <si>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</si>
  <si>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</si>
  <si>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</si>
  <si>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</si>
  <si>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</si>
  <si>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</si>
  <si>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</si>
  <si>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</si>
  <si>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</si>
  <si>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</si>
  <si>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</si>
  <si>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>Loh Kai Xuan Tabi</t>
  </si>
  <si>
    <t xml:space="preserve">bonus per hour </t>
  </si>
  <si>
    <t xml:space="preserve">STATUS </t>
  </si>
  <si>
    <t xml:space="preserve">Ass. Manager </t>
  </si>
  <si>
    <t xml:space="preserve">Shania </t>
  </si>
  <si>
    <t>Malcolm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</si>
  <si>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</si>
  <si>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</si>
  <si>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</si>
  <si>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</si>
  <si>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</si>
  <si>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Jc Marinel </t>
  </si>
  <si>
    <t xml:space="preserve">Navea </t>
  </si>
  <si>
    <t xml:space="preserve">New Startes </t>
  </si>
  <si>
    <t xml:space="preserve">Ramos </t>
  </si>
  <si>
    <t>Hafiz Abdur</t>
  </si>
  <si>
    <t xml:space="preserve">Rahim </t>
  </si>
  <si>
    <t xml:space="preserve">Mei Lin </t>
  </si>
  <si>
    <t xml:space="preserve">Khong </t>
  </si>
  <si>
    <t xml:space="preserve">Setareh </t>
  </si>
  <si>
    <t xml:space="preserve">Saeedfar </t>
  </si>
  <si>
    <t xml:space="preserve">Manager </t>
  </si>
  <si>
    <t xml:space="preserve">Endea </t>
  </si>
  <si>
    <t xml:space="preserve">Stractchan </t>
  </si>
  <si>
    <t xml:space="preserve">Benjamin </t>
  </si>
  <si>
    <t xml:space="preserve">Gray </t>
  </si>
  <si>
    <t>Reyquane</t>
  </si>
  <si>
    <t>Kendell</t>
  </si>
  <si>
    <t xml:space="preserve">Adriana </t>
  </si>
  <si>
    <t xml:space="preserve">Baca </t>
  </si>
  <si>
    <t xml:space="preserve">Glenn </t>
  </si>
  <si>
    <t>Taniegra</t>
  </si>
  <si>
    <t xml:space="preserve">INCENTIVES </t>
  </si>
  <si>
    <t>Kitchen Ass. manager</t>
  </si>
  <si>
    <t xml:space="preserve">Month sick pay </t>
  </si>
  <si>
    <t xml:space="preserve">Durba </t>
  </si>
  <si>
    <t xml:space="preserve">Chandan </t>
  </si>
  <si>
    <t>Waiter</t>
  </si>
  <si>
    <t>Bank Account N</t>
  </si>
  <si>
    <t>04.00.04</t>
  </si>
  <si>
    <t>hours</t>
  </si>
  <si>
    <t>Arun</t>
  </si>
  <si>
    <t xml:space="preserve">Leaver </t>
  </si>
  <si>
    <t>Kitchen Ass. Manager (training)</t>
  </si>
  <si>
    <t>pay rise to £10</t>
  </si>
  <si>
    <t>PAYROLL 26rd Sept- 23UGLY DUMPLING  TEAM</t>
  </si>
  <si>
    <t>Andrea Gabriella Aakanksha</t>
  </si>
  <si>
    <t>TL835573B</t>
  </si>
  <si>
    <t>58839786</t>
  </si>
  <si>
    <t>40.11.92</t>
  </si>
  <si>
    <t xml:space="preserve">Chen Jin </t>
  </si>
  <si>
    <t>NJ986061B</t>
  </si>
  <si>
    <t>Devaughn-Rhys</t>
  </si>
  <si>
    <t>PK573345B</t>
  </si>
  <si>
    <t>54951380</t>
  </si>
  <si>
    <t>60.13.28</t>
  </si>
  <si>
    <t xml:space="preserve">Emilia </t>
  </si>
  <si>
    <t xml:space="preserve">Emilia Orlinska </t>
  </si>
  <si>
    <t>99326711</t>
  </si>
  <si>
    <t xml:space="preserve">Jennifer </t>
  </si>
  <si>
    <t xml:space="preserve">Jennifer Olsson </t>
  </si>
  <si>
    <t>SX979859D</t>
  </si>
  <si>
    <t>60.83.71</t>
  </si>
  <si>
    <t xml:space="preserve">Kimaya Francis </t>
  </si>
  <si>
    <t>PJ468514C</t>
  </si>
  <si>
    <t>92313790</t>
  </si>
  <si>
    <t>40.02.34</t>
  </si>
  <si>
    <t xml:space="preserve">Waiter </t>
  </si>
  <si>
    <t xml:space="preserve">Jin </t>
  </si>
  <si>
    <t xml:space="preserve">Chen </t>
  </si>
  <si>
    <t>]</t>
  </si>
  <si>
    <t xml:space="preserve">Orlinska </t>
  </si>
  <si>
    <t xml:space="preserve">Kimaya </t>
  </si>
  <si>
    <t xml:space="preserve">Francis </t>
  </si>
  <si>
    <t xml:space="preserve">Olsson </t>
  </si>
  <si>
    <t xml:space="preserve">Devaughn-Rhys </t>
  </si>
  <si>
    <t>Sibanda</t>
  </si>
  <si>
    <t>NA</t>
  </si>
  <si>
    <t xml:space="preserve">Polish </t>
  </si>
  <si>
    <t>ES2562227</t>
  </si>
  <si>
    <t xml:space="preserve">Student visa </t>
  </si>
  <si>
    <t>31870610</t>
  </si>
  <si>
    <t>40.27.02</t>
  </si>
  <si>
    <t xml:space="preserve">starter </t>
  </si>
  <si>
    <t xml:space="preserve">starter/leaver </t>
  </si>
  <si>
    <t>pay rise to £9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</si>
</sst>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_);[Red]\(&quot;£&quot;#,##0\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b/>
      <sz val="10"/>
      <color theme="4" tint="0.59999389629810485"/>
      <name val="Calibri Light"/>
      <family val="2"/>
      <scheme val="major"/>
    </font>
    <font>
      <sz val="10"/>
      <color theme="4" tint="0.59999389629810485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165" fontId="7" fillId="2" borderId="1" xfId="0" applyNumberFormat="1" applyFont="1" applyFill="1" applyBorder="1"/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0" fillId="2" borderId="0" xfId="0" applyFont="1" applyFill="1" applyBorder="1" applyAlignment="1">
      <alignment horizontal="center" vertical="center"/>
    </xf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9" fontId="0" fillId="2" borderId="0" xfId="79" applyFont="1" applyFill="1"/>
    <xf numFmtId="0" fontId="2" fillId="2" borderId="0" xfId="0" applyFont="1" applyFill="1"/>
    <xf numFmtId="165" fontId="2" fillId="2" borderId="0" xfId="0" applyNumberFormat="1" applyFont="1" applyFill="1"/>
    <xf numFmtId="0" fontId="18" fillId="2" borderId="2" xfId="0" applyFont="1" applyFill="1" applyBorder="1" applyAlignment="1">
      <alignment horizontal="left" vertical="center"/>
    </xf>
    <xf numFmtId="0" fontId="20" fillId="2" borderId="0" xfId="0" applyFont="1" applyFill="1" applyBorder="1"/>
    <xf numFmtId="0" fontId="20" fillId="3" borderId="0" xfId="0" applyFont="1" applyFill="1" applyBorder="1"/>
    <xf numFmtId="0" fontId="14" fillId="2" borderId="0" xfId="0" applyFont="1" applyFill="1"/>
    <xf numFmtId="0" fontId="20" fillId="3" borderId="0" xfId="0" applyFont="1" applyFill="1" applyBorder="1" applyAlignment="1"/>
    <xf numFmtId="1" fontId="20" fillId="3" borderId="0" xfId="0" applyNumberFormat="1" applyFont="1" applyFill="1" applyBorder="1" applyAlignment="1"/>
    <xf numFmtId="0" fontId="20" fillId="3" borderId="0" xfId="0" applyFont="1" applyFill="1" applyBorder="1" applyAlignment="1">
      <alignment horizontal="left"/>
    </xf>
    <xf numFmtId="1" fontId="20" fillId="3" borderId="0" xfId="0" applyNumberFormat="1" applyFont="1" applyFill="1" applyBorder="1" applyAlignment="1">
      <alignment horizontal="left"/>
    </xf>
    <xf numFmtId="49" fontId="20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6" fillId="2" borderId="3" xfId="0" applyFont="1" applyFill="1" applyBorder="1"/>
    <xf numFmtId="0" fontId="17" fillId="2" borderId="0" xfId="0" applyFont="1" applyFill="1" applyBorder="1"/>
    <xf numFmtId="0" fontId="16" fillId="2" borderId="0" xfId="0" applyFont="1" applyFill="1"/>
    <xf numFmtId="0" fontId="2" fillId="2" borderId="3" xfId="0" applyFont="1" applyFill="1" applyBorder="1"/>
    <xf numFmtId="0" fontId="20" fillId="2" borderId="0" xfId="0" applyFont="1" applyFill="1" applyBorder="1" applyAlignment="1"/>
    <xf numFmtId="1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Border="1" applyAlignment="1"/>
    <xf numFmtId="0" fontId="20" fillId="2" borderId="0" xfId="0" applyFont="1" applyFill="1" applyBorder="1" applyAlignment="1">
      <alignment horizontal="left"/>
    </xf>
    <xf numFmtId="0" fontId="20" fillId="2" borderId="4" xfId="0" applyFont="1" applyFill="1" applyBorder="1"/>
    <xf numFmtId="1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0" fillId="2" borderId="0" xfId="0" applyFont="1" applyFill="1" applyAlignment="1"/>
    <xf numFmtId="49" fontId="20" fillId="2" borderId="0" xfId="0" applyNumberFormat="1" applyFont="1" applyFill="1" applyAlignment="1">
      <alignment horizontal="left"/>
    </xf>
    <xf numFmtId="0" fontId="17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0" fillId="2" borderId="0" xfId="0" applyNumberFormat="1" applyFont="1" applyFill="1" applyBorder="1"/>
    <xf numFmtId="0" fontId="22" fillId="2" borderId="0" xfId="0" applyFont="1" applyFill="1" applyBorder="1"/>
    <xf numFmtId="0" fontId="22" fillId="2" borderId="0" xfId="0" applyFont="1" applyFill="1"/>
    <xf numFmtId="0" fontId="22" fillId="3" borderId="0" xfId="0" applyFont="1" applyFill="1" applyBorder="1"/>
    <xf numFmtId="0" fontId="22" fillId="3" borderId="0" xfId="0" applyFont="1" applyFill="1"/>
    <xf numFmtId="0" fontId="0" fillId="3" borderId="0" xfId="0" applyFill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164" fontId="6" fillId="4" borderId="0" xfId="78" applyFont="1" applyFill="1"/>
    <xf numFmtId="0" fontId="10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center" vertical="center"/>
    </xf>
    <xf numFmtId="165" fontId="10" fillId="3" borderId="0" xfId="78" applyNumberFormat="1" applyFont="1" applyFill="1" applyBorder="1" applyAlignment="1">
      <alignment vertical="center"/>
    </xf>
    <xf numFmtId="0" fontId="10" fillId="3" borderId="0" xfId="0" applyFont="1" applyFill="1" applyBorder="1" applyAlignment="1">
      <alignment horizontal="center" vertical="center"/>
    </xf>
    <xf numFmtId="164" fontId="9" fillId="3" borderId="0" xfId="78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3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5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/>
    <xf numFmtId="165" fontId="12" fillId="2" borderId="1" xfId="0" applyNumberFormat="1" applyFont="1" applyFill="1" applyBorder="1"/>
    <xf numFmtId="164" fontId="12" fillId="2" borderId="1" xfId="78" applyFont="1" applyFill="1" applyBorder="1"/>
    <xf numFmtId="0" fontId="27" fillId="4" borderId="0" xfId="0" applyFont="1" applyFill="1" applyBorder="1"/>
    <xf numFmtId="0" fontId="10" fillId="2" borderId="0" xfId="0" applyFont="1" applyFill="1"/>
    <xf numFmtId="164" fontId="6" fillId="2" borderId="0" xfId="78" applyFont="1" applyFill="1" applyAlignment="1">
      <alignment horizontal="right" vertical="center"/>
    </xf>
    <xf numFmtId="165" fontId="10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0" fillId="2" borderId="0" xfId="0" applyFont="1" applyFill="1" applyBorder="1"/>
    <xf numFmtId="164" fontId="6" fillId="2" borderId="0" xfId="78" applyFont="1" applyFill="1" applyBorder="1" applyAlignment="1">
      <alignment horizontal="right" vertical="center"/>
    </xf>
    <xf numFmtId="0" fontId="11" fillId="2" borderId="0" xfId="0" applyFont="1" applyFill="1" applyBorder="1"/>
    <xf numFmtId="164" fontId="11" fillId="2" borderId="0" xfId="78" applyFont="1" applyFill="1"/>
    <xf numFmtId="165" fontId="11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0" fillId="2" borderId="0" xfId="78" applyNumberFormat="1" applyFont="1" applyFill="1"/>
    <xf numFmtId="0" fontId="7" fillId="2" borderId="0" xfId="0" applyFont="1" applyFill="1"/>
    <xf numFmtId="0" fontId="23" fillId="2" borderId="0" xfId="0" applyFont="1" applyFill="1"/>
    <xf numFmtId="0" fontId="19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27" fillId="2" borderId="0" xfId="0" applyFont="1" applyFill="1" applyBorder="1"/>
    <xf numFmtId="0" fontId="24" fillId="6" borderId="0" xfId="0" applyFont="1" applyFill="1"/>
    <xf numFmtId="0" fontId="25" fillId="6" borderId="0" xfId="0" applyFont="1" applyFill="1"/>
    <xf numFmtId="165" fontId="24" fillId="6" borderId="0" xfId="0" applyNumberFormat="1" applyFont="1" applyFill="1"/>
    <xf numFmtId="0" fontId="24" fillId="6" borderId="0" xfId="0" applyFont="1" applyFill="1" applyAlignment="1">
      <alignment horizontal="right" vertical="center"/>
    </xf>
    <xf numFmtId="164" fontId="24" fillId="6" borderId="0" xfId="0" applyNumberFormat="1" applyFont="1" applyFill="1"/>
    <xf numFmtId="0" fontId="26" fillId="6" borderId="0" xfId="0" applyFont="1" applyFill="1"/>
    <xf numFmtId="165" fontId="6" fillId="4" borderId="0" xfId="0" applyNumberFormat="1" applyFont="1" applyFill="1" applyAlignment="1">
      <alignment horizontal="right" vertical="center"/>
    </xf>
    <xf numFmtId="0" fontId="19" fillId="4" borderId="0" xfId="0" applyFont="1" applyFill="1"/>
    <xf numFmtId="165" fontId="21" fillId="4" borderId="0" xfId="0" applyNumberFormat="1" applyFont="1" applyFill="1"/>
    <xf numFmtId="6" fontId="6" fillId="2" borderId="0" xfId="0" applyNumberFormat="1" applyFont="1" applyFill="1"/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6" fillId="4" borderId="0" xfId="78" applyFont="1" applyFill="1" applyAlignment="1">
      <alignment horizontal="right" vertical="center"/>
    </xf>
    <xf numFmtId="0" fontId="21" fillId="4" borderId="0" xfId="0" applyFont="1" applyFill="1"/>
    <xf numFmtId="0" fontId="11" fillId="4" borderId="0" xfId="0" applyFont="1" applyFill="1"/>
    <xf numFmtId="0" fontId="11" fillId="4" borderId="0" xfId="0" applyFont="1" applyFill="1" applyBorder="1"/>
    <xf numFmtId="164" fontId="11" fillId="4" borderId="0" xfId="78" applyFont="1" applyFill="1"/>
    <xf numFmtId="165" fontId="11" fillId="4" borderId="0" xfId="0" applyNumberFormat="1" applyFont="1" applyFill="1"/>
    <xf numFmtId="0" fontId="28" fillId="7" borderId="0" xfId="0" applyFont="1" applyFill="1"/>
    <xf numFmtId="165" fontId="29" fillId="7" borderId="0" xfId="0" applyNumberFormat="1" applyFont="1" applyFill="1"/>
    <xf numFmtId="0" fontId="28" fillId="7" borderId="0" xfId="0" applyFont="1" applyFill="1" applyBorder="1"/>
    <xf numFmtId="165" fontId="21" fillId="2" borderId="0" xfId="0" applyNumberFormat="1" applyFont="1" applyFill="1" applyBorder="1" applyAlignment="1">
      <alignment horizontal="right" vertical="center"/>
    </xf>
    <xf numFmtId="165" fontId="21" fillId="4" borderId="0" xfId="0" applyNumberFormat="1" applyFont="1" applyFill="1" applyBorder="1" applyAlignment="1">
      <alignment horizontal="right" vertical="center"/>
    </xf>
    <xf numFmtId="165" fontId="19" fillId="4" borderId="0" xfId="0" applyNumberFormat="1" applyFon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:L65"/>
  <sheetViews>
    <sheetView tabSelected="1" zoomScale="102" zoomScaleNormal="102" workbookViewId="0">
      <selection activeCell="I31" sqref="I31"/>
    </sheetView>
  </sheetViews>
  <sheetFormatPr baseColWidth="10" defaultRowHeight="16" x14ac:dyDescent="0.2"/>
  <cols>
    <col min="1" max="1" width="22" style="2" bestFit="1" customWidth="1"/>
    <col min="2" max="2" width="20.33203125" style="2" bestFit="1" customWidth="1"/>
    <col min="3" max="3" width="19.33203125" style="2" bestFit="1" customWidth="1"/>
    <col min="4" max="4" width="22.1640625" style="2" customWidth="1"/>
    <col min="5" max="5" width="8" style="2" bestFit="1" customWidth="1"/>
    <col min="6" max="6" width="9.83203125" style="2" customWidth="1"/>
    <col min="7" max="7" width="12.5" style="2" customWidth="1"/>
    <col min="8" max="8" width="14" style="2" customWidth="1"/>
    <col min="9" max="9" width="8.33203125" style="2" bestFit="1" customWidth="1"/>
    <col min="10" max="10" width="10" style="2" customWidth="1"/>
    <col min="11" max="11" width="20.1640625" style="2" customWidth="1"/>
    <col min="12" max="12" width="18.6640625" style="2" customWidth="1"/>
    <col min="13" max="16384" width="10.83203125" style="2"/>
  </cols>
  <sheetData>
    <row r="1" spans="1:12" x14ac:dyDescent="0.2">
      <c r="A1" s="29" t="s">
        <v>0</v>
      </c>
      <c r="B1" s="29" t="s">
        <v>1</v>
      </c>
      <c r="C1" s="29" t="s">
        <v>2</v>
      </c>
      <c r="D1" s="29" t="s">
        <v>50</v>
      </c>
      <c r="E1" s="29" t="s">
        <v>56</v>
      </c>
      <c r="F1" s="29" t="s">
        <v>5</v>
      </c>
      <c r="G1" s="29" t="s">
        <v>51</v>
      </c>
      <c r="H1" s="29" t="s">
        <v>59</v>
      </c>
      <c r="I1" s="29" t="s">
        <v>52</v>
      </c>
      <c r="J1" s="29" t="s">
        <v>53</v>
      </c>
      <c r="K1" s="29" t="s">
        <v>54</v>
      </c>
      <c r="L1" s="29" t="s">
        <v>55</v>
      </c>
    </row>
    <row r="2" spans="1:12" x14ac:dyDescent="0.2">
      <c r="A2" s="4" t="s">
        <v>15</v>
      </c>
      <c r="B2" s="4" t="s">
        <v>38</v>
      </c>
      <c r="C2" s="4" t="s">
        <v>39</v>
      </c>
      <c r="D2" s="97" t="s">
        <v>11</v>
      </c>
      <c r="E2" s="98">
        <v>10</v>
      </c>
      <c r="F2" s="97">
        <v>165.18</v>
      </c>
      <c r="G2" s="99">
        <f>E2*F2</f>
        <v>1651.8000000000002</v>
      </c>
      <c r="H2" s="100">
        <f>+(0.7*1)*H3</f>
        <v>128.79300000000001</v>
      </c>
      <c r="I2" s="101"/>
      <c r="J2" s="4"/>
      <c r="K2" s="102">
        <v>2.5</v>
      </c>
      <c r="L2" s="4"/>
    </row>
    <row r="3" spans="1:12" x14ac:dyDescent="0.2">
      <c r="A3" s="7" t="s">
        <v>93</v>
      </c>
      <c r="B3" s="68" t="s">
        <v>27</v>
      </c>
      <c r="C3" s="68" t="s">
        <v>28</v>
      </c>
      <c r="D3" s="68" t="s">
        <v>11</v>
      </c>
      <c r="E3" s="130">
        <v>11</v>
      </c>
      <c r="F3" s="68">
        <v>183.99</v>
      </c>
      <c r="G3" s="69">
        <f t="shared" ref="G3:G40" si="0">E3*F3</f>
        <v>2023.89</v>
      </c>
      <c r="H3" s="74">
        <v>183.99</v>
      </c>
      <c r="I3" s="8"/>
      <c r="J3" s="7"/>
      <c r="K3" s="70"/>
      <c r="L3" s="7"/>
    </row>
    <row r="4" spans="1:12" x14ac:dyDescent="0.2">
      <c r="A4" s="103" t="s">
        <v>111</v>
      </c>
      <c r="B4" s="104" t="s">
        <v>40</v>
      </c>
      <c r="C4" s="104" t="s">
        <v>41</v>
      </c>
      <c r="D4" s="97" t="s">
        <v>11</v>
      </c>
      <c r="E4" s="105">
        <v>11</v>
      </c>
      <c r="F4" s="97">
        <v>166.42</v>
      </c>
      <c r="G4" s="99">
        <f t="shared" si="0"/>
        <v>1830.62</v>
      </c>
      <c r="H4" s="100">
        <f>+(0.85*1)*H3</f>
        <v>156.39150000000001</v>
      </c>
      <c r="I4" s="101"/>
      <c r="J4" s="4"/>
      <c r="K4" s="102">
        <v>3.5</v>
      </c>
      <c r="L4" s="4"/>
    </row>
    <row r="5" spans="1:12" x14ac:dyDescent="0.2">
      <c r="A5" s="7" t="s">
        <v>93</v>
      </c>
      <c r="B5" s="9" t="s">
        <v>80</v>
      </c>
      <c r="C5" s="7" t="s">
        <v>81</v>
      </c>
      <c r="D5" s="68" t="s">
        <v>11</v>
      </c>
      <c r="E5" s="70">
        <v>11</v>
      </c>
      <c r="F5" s="68">
        <v>167.48</v>
      </c>
      <c r="G5" s="69">
        <f t="shared" si="0"/>
        <v>1842.28</v>
      </c>
      <c r="H5" s="8">
        <f>+(0.8*1)*H3</f>
        <v>147.19200000000001</v>
      </c>
      <c r="I5" s="8"/>
      <c r="J5" s="7"/>
      <c r="K5" s="70">
        <v>3</v>
      </c>
      <c r="L5" s="8"/>
    </row>
    <row r="6" spans="1:12" x14ac:dyDescent="0.2">
      <c r="A6" s="4" t="s">
        <v>15</v>
      </c>
      <c r="B6" s="103" t="s">
        <v>58</v>
      </c>
      <c r="C6" s="4" t="s">
        <v>57</v>
      </c>
      <c r="D6" s="97" t="s">
        <v>11</v>
      </c>
      <c r="E6" s="102">
        <v>9</v>
      </c>
      <c r="F6" s="97">
        <v>98.5</v>
      </c>
      <c r="G6" s="99">
        <f t="shared" si="0"/>
        <v>886.5</v>
      </c>
      <c r="H6" s="101"/>
      <c r="I6" s="101"/>
      <c r="J6" s="4"/>
      <c r="K6" s="102">
        <v>1</v>
      </c>
      <c r="L6" s="126"/>
    </row>
    <row r="7" spans="1:12" x14ac:dyDescent="0.2">
      <c r="A7" s="7" t="s">
        <v>15</v>
      </c>
      <c r="B7" s="9" t="s">
        <v>75</v>
      </c>
      <c r="C7" s="7" t="s">
        <v>76</v>
      </c>
      <c r="D7" s="68" t="s">
        <v>11</v>
      </c>
      <c r="E7" s="70">
        <v>9</v>
      </c>
      <c r="F7" s="68">
        <v>47.71</v>
      </c>
      <c r="G7" s="69">
        <f t="shared" si="0"/>
        <v>429.39</v>
      </c>
      <c r="H7" s="8"/>
      <c r="I7" s="8"/>
      <c r="J7" s="7"/>
      <c r="K7" s="70">
        <v>1</v>
      </c>
      <c r="L7" s="131"/>
    </row>
    <row r="8" spans="1:12" x14ac:dyDescent="0.2">
      <c r="A8" s="10" t="s">
        <v>157</v>
      </c>
      <c r="B8" s="106" t="s">
        <v>159</v>
      </c>
      <c r="C8" s="10" t="s">
        <v>158</v>
      </c>
      <c r="D8" s="97" t="s">
        <v>11</v>
      </c>
      <c r="E8" s="107">
        <v>9</v>
      </c>
      <c r="F8" s="97">
        <v>12.5</v>
      </c>
      <c r="G8" s="99">
        <f t="shared" si="0"/>
        <v>112.5</v>
      </c>
      <c r="H8" s="108"/>
      <c r="I8" s="108"/>
      <c r="J8" s="10"/>
      <c r="K8" s="107">
        <v>0.5</v>
      </c>
      <c r="L8" s="10" t="s">
        <v>173</v>
      </c>
    </row>
    <row r="9" spans="1:12" x14ac:dyDescent="0.2">
      <c r="A9" s="132" t="s">
        <v>15</v>
      </c>
      <c r="B9" s="133" t="s">
        <v>112</v>
      </c>
      <c r="C9" s="132" t="s">
        <v>113</v>
      </c>
      <c r="D9" s="68" t="s">
        <v>11</v>
      </c>
      <c r="E9" s="134">
        <v>9</v>
      </c>
      <c r="F9" s="68">
        <v>121.19</v>
      </c>
      <c r="G9" s="69">
        <f t="shared" si="0"/>
        <v>1090.71</v>
      </c>
      <c r="H9" s="135"/>
      <c r="I9" s="135"/>
      <c r="J9" s="132"/>
      <c r="K9" s="134" t="s">
        <v>160</v>
      </c>
      <c r="L9" s="132"/>
    </row>
    <row r="10" spans="1:12" x14ac:dyDescent="0.2">
      <c r="A10" s="10" t="s">
        <v>15</v>
      </c>
      <c r="B10" s="106" t="s">
        <v>94</v>
      </c>
      <c r="C10" s="10" t="s">
        <v>95</v>
      </c>
      <c r="D10" s="97" t="s">
        <v>11</v>
      </c>
      <c r="E10" s="107">
        <v>9.5</v>
      </c>
      <c r="F10" s="97">
        <v>57.87</v>
      </c>
      <c r="G10" s="99">
        <f t="shared" si="0"/>
        <v>549.76499999999999</v>
      </c>
      <c r="H10" s="108"/>
      <c r="I10" s="108"/>
      <c r="J10" s="10"/>
      <c r="K10" s="107">
        <v>0.5</v>
      </c>
      <c r="L10" s="10" t="s">
        <v>132</v>
      </c>
    </row>
    <row r="11" spans="1:12" x14ac:dyDescent="0.2">
      <c r="A11" s="132" t="s">
        <v>15</v>
      </c>
      <c r="B11" s="133" t="s">
        <v>114</v>
      </c>
      <c r="C11" s="132" t="s">
        <v>115</v>
      </c>
      <c r="D11" s="68" t="s">
        <v>11</v>
      </c>
      <c r="E11" s="134">
        <v>8.5</v>
      </c>
      <c r="F11" s="68">
        <v>90.45</v>
      </c>
      <c r="G11" s="69">
        <f t="shared" si="0"/>
        <v>768.82500000000005</v>
      </c>
      <c r="H11" s="135"/>
      <c r="I11" s="135"/>
      <c r="J11" s="132"/>
      <c r="K11" s="134">
        <v>0.5</v>
      </c>
      <c r="L11" s="132"/>
    </row>
    <row r="12" spans="1:12" x14ac:dyDescent="0.2">
      <c r="A12" s="10" t="s">
        <v>15</v>
      </c>
      <c r="B12" s="106" t="s">
        <v>146</v>
      </c>
      <c r="C12" s="10" t="s">
        <v>161</v>
      </c>
      <c r="D12" s="97" t="s">
        <v>11</v>
      </c>
      <c r="E12" s="107">
        <v>9.5</v>
      </c>
      <c r="F12" s="97">
        <v>34.619999999999997</v>
      </c>
      <c r="G12" s="99">
        <f t="shared" si="0"/>
        <v>328.89</v>
      </c>
      <c r="H12" s="108"/>
      <c r="I12" s="108"/>
      <c r="J12" s="10"/>
      <c r="K12" s="107">
        <v>0.5</v>
      </c>
      <c r="L12" s="10" t="s">
        <v>173</v>
      </c>
    </row>
    <row r="13" spans="1:12" x14ac:dyDescent="0.2">
      <c r="A13" s="132" t="s">
        <v>15</v>
      </c>
      <c r="B13" s="133" t="s">
        <v>120</v>
      </c>
      <c r="C13" s="132" t="s">
        <v>121</v>
      </c>
      <c r="D13" s="68" t="s">
        <v>11</v>
      </c>
      <c r="E13" s="134">
        <v>9.5</v>
      </c>
      <c r="F13" s="68">
        <v>55.95</v>
      </c>
      <c r="G13" s="69">
        <f t="shared" si="0"/>
        <v>531.52499999999998</v>
      </c>
      <c r="H13" s="135"/>
      <c r="I13" s="135"/>
      <c r="J13" s="132"/>
      <c r="K13" s="134">
        <v>1</v>
      </c>
      <c r="L13" s="132" t="s">
        <v>132</v>
      </c>
    </row>
    <row r="14" spans="1:12" x14ac:dyDescent="0.2">
      <c r="A14" s="10" t="s">
        <v>15</v>
      </c>
      <c r="B14" s="106" t="s">
        <v>162</v>
      </c>
      <c r="C14" s="10" t="s">
        <v>163</v>
      </c>
      <c r="D14" s="97" t="s">
        <v>11</v>
      </c>
      <c r="E14" s="107">
        <v>9.5</v>
      </c>
      <c r="F14" s="97">
        <v>30.28</v>
      </c>
      <c r="G14" s="99">
        <f t="shared" si="0"/>
        <v>287.66000000000003</v>
      </c>
      <c r="H14" s="108"/>
      <c r="I14" s="108"/>
      <c r="J14" s="10"/>
      <c r="K14" s="107">
        <v>0.5</v>
      </c>
      <c r="L14" s="10" t="s">
        <v>173</v>
      </c>
    </row>
    <row r="15" spans="1:12" x14ac:dyDescent="0.2">
      <c r="A15" s="132" t="s">
        <v>127</v>
      </c>
      <c r="B15" s="133" t="s">
        <v>125</v>
      </c>
      <c r="C15" s="132" t="s">
        <v>126</v>
      </c>
      <c r="D15" s="68" t="s">
        <v>11</v>
      </c>
      <c r="E15" s="134">
        <v>9.5</v>
      </c>
      <c r="F15" s="68">
        <v>79.13</v>
      </c>
      <c r="G15" s="69">
        <f t="shared" si="0"/>
        <v>751.7349999999999</v>
      </c>
      <c r="H15" s="135"/>
      <c r="I15" s="135"/>
      <c r="J15" s="132"/>
      <c r="K15" s="134">
        <v>1</v>
      </c>
      <c r="L15" s="132"/>
    </row>
    <row r="16" spans="1:12" x14ac:dyDescent="0.2">
      <c r="A16" s="10" t="s">
        <v>15</v>
      </c>
      <c r="B16" s="106" t="s">
        <v>149</v>
      </c>
      <c r="C16" s="10" t="s">
        <v>164</v>
      </c>
      <c r="D16" s="97" t="s">
        <v>11</v>
      </c>
      <c r="E16" s="107">
        <v>9.5</v>
      </c>
      <c r="F16" s="97"/>
      <c r="G16" s="99">
        <v>22</v>
      </c>
      <c r="H16" s="108"/>
      <c r="I16" s="108"/>
      <c r="J16" s="10"/>
      <c r="K16" s="107"/>
      <c r="L16" s="10" t="s">
        <v>174</v>
      </c>
    </row>
    <row r="17" spans="1:12" x14ac:dyDescent="0.2">
      <c r="A17" s="132" t="s">
        <v>15</v>
      </c>
      <c r="B17" s="133" t="s">
        <v>101</v>
      </c>
      <c r="C17" s="132" t="s">
        <v>102</v>
      </c>
      <c r="D17" s="68" t="s">
        <v>11</v>
      </c>
      <c r="E17" s="134">
        <v>9.5</v>
      </c>
      <c r="F17" s="68">
        <v>39.56</v>
      </c>
      <c r="G17" s="69">
        <f t="shared" si="0"/>
        <v>375.82000000000005</v>
      </c>
      <c r="H17" s="135"/>
      <c r="I17" s="135"/>
      <c r="J17" s="132"/>
      <c r="K17" s="134">
        <v>0.5</v>
      </c>
      <c r="L17" s="132"/>
    </row>
    <row r="18" spans="1:12" x14ac:dyDescent="0.2">
      <c r="A18" s="136"/>
      <c r="B18" s="136"/>
      <c r="C18" s="136"/>
      <c r="D18" s="136"/>
      <c r="E18" s="136"/>
      <c r="F18" s="136"/>
      <c r="G18" s="137">
        <f t="shared" si="0"/>
        <v>0</v>
      </c>
      <c r="H18" s="136"/>
      <c r="I18" s="138"/>
      <c r="J18" s="138"/>
      <c r="K18" s="138"/>
      <c r="L18" s="138"/>
    </row>
    <row r="19" spans="1:12" x14ac:dyDescent="0.2">
      <c r="A19" s="103" t="s">
        <v>29</v>
      </c>
      <c r="B19" s="104" t="s">
        <v>30</v>
      </c>
      <c r="C19" s="104" t="s">
        <v>31</v>
      </c>
      <c r="D19" s="97" t="s">
        <v>11</v>
      </c>
      <c r="E19" s="109">
        <v>10</v>
      </c>
      <c r="F19" s="104">
        <v>24.17</v>
      </c>
      <c r="G19" s="99">
        <f t="shared" si="0"/>
        <v>241.70000000000002</v>
      </c>
      <c r="H19" s="110"/>
      <c r="I19" s="99"/>
      <c r="J19" s="4"/>
      <c r="K19" s="102"/>
      <c r="L19" s="111"/>
    </row>
    <row r="20" spans="1:12" x14ac:dyDescent="0.2">
      <c r="A20" s="7" t="s">
        <v>16</v>
      </c>
      <c r="B20" s="7" t="s">
        <v>9</v>
      </c>
      <c r="C20" s="7" t="s">
        <v>10</v>
      </c>
      <c r="D20" s="68" t="s">
        <v>11</v>
      </c>
      <c r="E20" s="123">
        <v>10.7</v>
      </c>
      <c r="F20" s="7">
        <v>159.81</v>
      </c>
      <c r="G20" s="69">
        <f t="shared" si="0"/>
        <v>1709.9669999999999</v>
      </c>
      <c r="H20" s="74">
        <f>+H3*(0.9*1)</f>
        <v>165.59100000000001</v>
      </c>
      <c r="I20" s="8"/>
      <c r="J20" s="7"/>
      <c r="K20" s="70"/>
      <c r="L20" s="87"/>
    </row>
    <row r="21" spans="1:12" x14ac:dyDescent="0.2">
      <c r="A21" s="103" t="s">
        <v>16</v>
      </c>
      <c r="B21" s="103" t="s">
        <v>24</v>
      </c>
      <c r="C21" s="103" t="s">
        <v>25</v>
      </c>
      <c r="D21" s="97" t="s">
        <v>11</v>
      </c>
      <c r="E21" s="109">
        <v>10.7</v>
      </c>
      <c r="F21" s="103">
        <v>10</v>
      </c>
      <c r="G21" s="99">
        <f t="shared" si="0"/>
        <v>107</v>
      </c>
      <c r="H21" s="100"/>
      <c r="I21" s="101"/>
      <c r="J21" s="4"/>
      <c r="K21" s="102"/>
      <c r="L21" s="112" t="s">
        <v>124</v>
      </c>
    </row>
    <row r="22" spans="1:12" x14ac:dyDescent="0.2">
      <c r="A22" s="9" t="s">
        <v>21</v>
      </c>
      <c r="B22" s="71" t="s">
        <v>49</v>
      </c>
      <c r="C22" s="71" t="s">
        <v>26</v>
      </c>
      <c r="D22" s="68" t="s">
        <v>11</v>
      </c>
      <c r="E22" s="140">
        <v>9.5</v>
      </c>
      <c r="F22" s="73">
        <f>155.38-60</f>
        <v>95.38</v>
      </c>
      <c r="G22" s="69">
        <f t="shared" si="0"/>
        <v>906.1099999999999</v>
      </c>
      <c r="H22" s="74">
        <v>200</v>
      </c>
      <c r="I22" s="8">
        <f>+'Dumpling Bonus '!J4</f>
        <v>0</v>
      </c>
      <c r="J22" s="7"/>
      <c r="K22" s="70"/>
      <c r="L22" s="88"/>
    </row>
    <row r="23" spans="1:12" x14ac:dyDescent="0.2">
      <c r="A23" s="4" t="s">
        <v>21</v>
      </c>
      <c r="B23" s="103" t="s">
        <v>13</v>
      </c>
      <c r="C23" s="103" t="s">
        <v>12</v>
      </c>
      <c r="D23" s="97" t="s">
        <v>11</v>
      </c>
      <c r="E23" s="139">
        <v>11.5</v>
      </c>
      <c r="F23" s="113">
        <f>162.18-60+6</f>
        <v>108.18</v>
      </c>
      <c r="G23" s="99">
        <f>E23*F23</f>
        <v>1244.0700000000002</v>
      </c>
      <c r="H23" s="114"/>
      <c r="I23" s="114"/>
      <c r="J23" s="4"/>
      <c r="K23" s="102"/>
      <c r="L23" s="111"/>
    </row>
    <row r="24" spans="1:12" x14ac:dyDescent="0.2">
      <c r="A24" s="7" t="s">
        <v>21</v>
      </c>
      <c r="B24" s="9" t="s">
        <v>77</v>
      </c>
      <c r="C24" s="9" t="s">
        <v>78</v>
      </c>
      <c r="D24" s="68" t="s">
        <v>11</v>
      </c>
      <c r="E24" s="72">
        <v>9.5</v>
      </c>
      <c r="F24" s="73">
        <v>147.52000000000001</v>
      </c>
      <c r="G24" s="69">
        <f t="shared" si="0"/>
        <v>1401.44</v>
      </c>
      <c r="H24" s="75">
        <v>30</v>
      </c>
      <c r="I24" s="75"/>
      <c r="J24" s="7"/>
      <c r="K24" s="70"/>
      <c r="L24" s="88"/>
    </row>
    <row r="25" spans="1:12" x14ac:dyDescent="0.2">
      <c r="A25" s="4" t="s">
        <v>32</v>
      </c>
      <c r="B25" s="4" t="s">
        <v>34</v>
      </c>
      <c r="C25" s="4" t="s">
        <v>35</v>
      </c>
      <c r="D25" s="97" t="s">
        <v>11</v>
      </c>
      <c r="E25" s="109">
        <v>9.5</v>
      </c>
      <c r="F25" s="4">
        <v>156.19</v>
      </c>
      <c r="G25" s="99">
        <f t="shared" si="0"/>
        <v>1483.8050000000001</v>
      </c>
      <c r="H25" s="101">
        <v>80</v>
      </c>
      <c r="I25" s="101"/>
      <c r="J25" s="4"/>
      <c r="K25" s="102">
        <v>1</v>
      </c>
      <c r="L25" s="112"/>
    </row>
    <row r="26" spans="1:12" x14ac:dyDescent="0.2">
      <c r="A26" s="7" t="s">
        <v>44</v>
      </c>
      <c r="B26" s="7" t="s">
        <v>37</v>
      </c>
      <c r="C26" s="7" t="s">
        <v>36</v>
      </c>
      <c r="D26" s="68" t="s">
        <v>11</v>
      </c>
      <c r="E26" s="72">
        <v>10</v>
      </c>
      <c r="F26" s="124">
        <f>4*20</f>
        <v>80</v>
      </c>
      <c r="G26" s="69">
        <f t="shared" si="0"/>
        <v>800</v>
      </c>
      <c r="H26" s="8"/>
      <c r="I26" s="8"/>
      <c r="J26" s="7"/>
      <c r="K26" s="70">
        <v>3</v>
      </c>
      <c r="L26" s="88"/>
    </row>
    <row r="27" spans="1:12" x14ac:dyDescent="0.2">
      <c r="A27" s="4" t="s">
        <v>44</v>
      </c>
      <c r="B27" s="4" t="s">
        <v>42</v>
      </c>
      <c r="C27" s="4" t="s">
        <v>43</v>
      </c>
      <c r="D27" s="97" t="s">
        <v>11</v>
      </c>
      <c r="E27" s="109">
        <v>9</v>
      </c>
      <c r="F27" s="4">
        <v>96.28</v>
      </c>
      <c r="G27" s="99">
        <f t="shared" si="0"/>
        <v>866.52</v>
      </c>
      <c r="H27" s="101"/>
      <c r="I27" s="101"/>
      <c r="J27" s="4"/>
      <c r="K27" s="102">
        <v>0.5</v>
      </c>
      <c r="L27" s="112"/>
    </row>
    <row r="28" spans="1:12" x14ac:dyDescent="0.2">
      <c r="A28" s="7" t="s">
        <v>44</v>
      </c>
      <c r="B28" s="9" t="s">
        <v>47</v>
      </c>
      <c r="C28" s="7" t="s">
        <v>48</v>
      </c>
      <c r="D28" s="68" t="s">
        <v>11</v>
      </c>
      <c r="E28" s="8">
        <v>8.5</v>
      </c>
      <c r="F28" s="76">
        <v>104.93</v>
      </c>
      <c r="G28" s="69">
        <f t="shared" si="0"/>
        <v>891.90500000000009</v>
      </c>
      <c r="H28" s="8"/>
      <c r="I28" s="8"/>
      <c r="J28" s="7"/>
      <c r="K28" s="70">
        <v>0.5</v>
      </c>
      <c r="L28" s="88"/>
    </row>
    <row r="29" spans="1:12" x14ac:dyDescent="0.2">
      <c r="A29" s="4" t="s">
        <v>44</v>
      </c>
      <c r="B29" s="103" t="s">
        <v>82</v>
      </c>
      <c r="C29" s="4" t="s">
        <v>83</v>
      </c>
      <c r="D29" s="97" t="s">
        <v>11</v>
      </c>
      <c r="E29" s="101">
        <v>9</v>
      </c>
      <c r="F29" s="115">
        <v>72.040000000000006</v>
      </c>
      <c r="G29" s="99">
        <f t="shared" si="0"/>
        <v>648.36</v>
      </c>
      <c r="H29" s="101"/>
      <c r="I29" s="101"/>
      <c r="J29" s="4"/>
      <c r="K29" s="102">
        <v>1</v>
      </c>
      <c r="L29" s="111" t="s">
        <v>175</v>
      </c>
    </row>
    <row r="30" spans="1:12" x14ac:dyDescent="0.2">
      <c r="A30" s="7" t="s">
        <v>133</v>
      </c>
      <c r="B30" s="9" t="s">
        <v>85</v>
      </c>
      <c r="C30" s="7" t="s">
        <v>84</v>
      </c>
      <c r="D30" s="68" t="s">
        <v>11</v>
      </c>
      <c r="E30" s="8">
        <v>10</v>
      </c>
      <c r="F30" s="76">
        <f>4*20</f>
        <v>80</v>
      </c>
      <c r="G30" s="69">
        <f t="shared" si="0"/>
        <v>800</v>
      </c>
      <c r="H30" s="141">
        <f>+(160.93-F30)*10+120</f>
        <v>929.30000000000007</v>
      </c>
      <c r="I30" s="8"/>
      <c r="J30" s="7"/>
      <c r="K30" s="70">
        <v>1</v>
      </c>
      <c r="L30" s="88"/>
    </row>
    <row r="31" spans="1:12" x14ac:dyDescent="0.2">
      <c r="A31" s="4" t="s">
        <v>21</v>
      </c>
      <c r="B31" s="103" t="s">
        <v>86</v>
      </c>
      <c r="C31" s="4" t="s">
        <v>87</v>
      </c>
      <c r="D31" s="97" t="s">
        <v>11</v>
      </c>
      <c r="E31" s="101">
        <v>9.5</v>
      </c>
      <c r="F31" s="115">
        <v>203.74</v>
      </c>
      <c r="G31" s="99">
        <f t="shared" si="0"/>
        <v>1935.5300000000002</v>
      </c>
      <c r="H31" s="101"/>
      <c r="I31" s="101">
        <v>70</v>
      </c>
      <c r="J31" s="4"/>
      <c r="K31" s="102"/>
      <c r="L31" s="111"/>
    </row>
    <row r="32" spans="1:12" x14ac:dyDescent="0.2">
      <c r="A32" s="7" t="s">
        <v>21</v>
      </c>
      <c r="B32" s="9" t="s">
        <v>90</v>
      </c>
      <c r="C32" s="7"/>
      <c r="D32" s="68" t="s">
        <v>11</v>
      </c>
      <c r="E32" s="8">
        <v>8.5</v>
      </c>
      <c r="F32" s="76">
        <v>0</v>
      </c>
      <c r="G32" s="69">
        <f t="shared" si="0"/>
        <v>0</v>
      </c>
      <c r="H32" s="8"/>
      <c r="I32" s="8"/>
      <c r="J32" s="7"/>
      <c r="K32" s="70"/>
      <c r="L32" s="88"/>
    </row>
    <row r="33" spans="1:12" x14ac:dyDescent="0.2">
      <c r="A33" s="4" t="s">
        <v>44</v>
      </c>
      <c r="B33" s="103" t="s">
        <v>99</v>
      </c>
      <c r="C33" s="4" t="s">
        <v>97</v>
      </c>
      <c r="D33" s="97" t="s">
        <v>11</v>
      </c>
      <c r="E33" s="101">
        <v>10</v>
      </c>
      <c r="F33" s="115">
        <v>77.739999999999995</v>
      </c>
      <c r="G33" s="99">
        <f t="shared" si="0"/>
        <v>777.4</v>
      </c>
      <c r="H33" s="101"/>
      <c r="I33" s="101"/>
      <c r="J33" s="4"/>
      <c r="K33" s="102">
        <v>2</v>
      </c>
      <c r="L33" s="111" t="s">
        <v>134</v>
      </c>
    </row>
    <row r="34" spans="1:12" x14ac:dyDescent="0.2">
      <c r="A34" s="7" t="s">
        <v>44</v>
      </c>
      <c r="B34" s="9" t="s">
        <v>100</v>
      </c>
      <c r="C34" s="7" t="s">
        <v>98</v>
      </c>
      <c r="D34" s="68" t="s">
        <v>11</v>
      </c>
      <c r="E34" s="8">
        <v>9.5</v>
      </c>
      <c r="F34" s="76">
        <v>105.52</v>
      </c>
      <c r="G34" s="69">
        <f t="shared" si="0"/>
        <v>1002.4399999999999</v>
      </c>
      <c r="H34" s="8"/>
      <c r="I34" s="8"/>
      <c r="J34" s="7"/>
      <c r="K34" s="70">
        <v>2</v>
      </c>
      <c r="L34" s="88"/>
    </row>
    <row r="35" spans="1:12" x14ac:dyDescent="0.2">
      <c r="A35" s="116" t="s">
        <v>44</v>
      </c>
      <c r="B35" s="117" t="s">
        <v>105</v>
      </c>
      <c r="C35" s="117" t="s">
        <v>106</v>
      </c>
      <c r="D35" s="118" t="s">
        <v>11</v>
      </c>
      <c r="E35" s="119">
        <v>9.5</v>
      </c>
      <c r="F35" s="120">
        <f>135.85-2</f>
        <v>133.85</v>
      </c>
      <c r="G35" s="99">
        <f t="shared" si="0"/>
        <v>1271.575</v>
      </c>
      <c r="H35" s="119"/>
      <c r="I35" s="119"/>
      <c r="J35" s="117"/>
      <c r="K35" s="121">
        <v>1</v>
      </c>
      <c r="L35" s="122"/>
    </row>
    <row r="36" spans="1:12" x14ac:dyDescent="0.2">
      <c r="A36" s="96" t="s">
        <v>44</v>
      </c>
      <c r="B36" s="9" t="s">
        <v>107</v>
      </c>
      <c r="C36" s="7" t="s">
        <v>108</v>
      </c>
      <c r="D36" s="68" t="s">
        <v>11</v>
      </c>
      <c r="E36" s="8">
        <v>9.5</v>
      </c>
      <c r="F36" s="76">
        <v>116.89</v>
      </c>
      <c r="G36" s="69">
        <f t="shared" si="0"/>
        <v>1110.4549999999999</v>
      </c>
      <c r="H36" s="8"/>
      <c r="I36" s="8">
        <v>50</v>
      </c>
      <c r="J36" s="7"/>
      <c r="K36" s="70"/>
      <c r="L36" s="88"/>
    </row>
    <row r="37" spans="1:12" x14ac:dyDescent="0.2">
      <c r="A37" s="116" t="s">
        <v>123</v>
      </c>
      <c r="B37" s="103" t="s">
        <v>109</v>
      </c>
      <c r="C37" s="4" t="s">
        <v>110</v>
      </c>
      <c r="D37" s="97" t="s">
        <v>11</v>
      </c>
      <c r="E37" s="101">
        <v>10.7</v>
      </c>
      <c r="F37" s="115">
        <v>170.07</v>
      </c>
      <c r="G37" s="99">
        <f t="shared" si="0"/>
        <v>1819.7489999999998</v>
      </c>
      <c r="H37" s="101"/>
      <c r="I37" s="101"/>
      <c r="J37" s="4"/>
      <c r="K37" s="102">
        <v>1</v>
      </c>
      <c r="L37" s="112"/>
    </row>
    <row r="38" spans="1:12" x14ac:dyDescent="0.2">
      <c r="A38" s="96" t="s">
        <v>44</v>
      </c>
      <c r="B38" s="9" t="s">
        <v>116</v>
      </c>
      <c r="C38" s="7" t="s">
        <v>117</v>
      </c>
      <c r="D38" s="68" t="s">
        <v>11</v>
      </c>
      <c r="E38" s="8">
        <v>8.5</v>
      </c>
      <c r="F38" s="76">
        <f>48.8*0.5</f>
        <v>24.4</v>
      </c>
      <c r="G38" s="69">
        <f t="shared" si="0"/>
        <v>207.39999999999998</v>
      </c>
      <c r="H38" s="8"/>
      <c r="I38" s="125"/>
      <c r="J38" s="7"/>
      <c r="K38" s="70">
        <v>0.5</v>
      </c>
      <c r="L38" s="88" t="s">
        <v>132</v>
      </c>
    </row>
    <row r="39" spans="1:12" x14ac:dyDescent="0.2">
      <c r="A39" s="4" t="s">
        <v>44</v>
      </c>
      <c r="B39" s="103" t="s">
        <v>118</v>
      </c>
      <c r="C39" s="4" t="s">
        <v>119</v>
      </c>
      <c r="D39" s="97" t="s">
        <v>11</v>
      </c>
      <c r="E39" s="101">
        <v>10</v>
      </c>
      <c r="F39" s="115">
        <v>74.709999999999994</v>
      </c>
      <c r="G39" s="99">
        <f t="shared" si="0"/>
        <v>747.09999999999991</v>
      </c>
      <c r="H39" s="101"/>
      <c r="I39" s="101"/>
      <c r="J39" s="4"/>
      <c r="K39" s="102">
        <v>1.5</v>
      </c>
      <c r="L39" s="111"/>
    </row>
    <row r="40" spans="1:12" x14ac:dyDescent="0.2">
      <c r="A40" s="7" t="s">
        <v>44</v>
      </c>
      <c r="B40" s="9" t="s">
        <v>45</v>
      </c>
      <c r="C40" s="7" t="s">
        <v>104</v>
      </c>
      <c r="D40" s="68" t="s">
        <v>11</v>
      </c>
      <c r="E40" s="8">
        <v>10.7</v>
      </c>
      <c r="F40" s="76">
        <v>157.16</v>
      </c>
      <c r="G40" s="69">
        <f t="shared" si="0"/>
        <v>1681.6119999999999</v>
      </c>
      <c r="H40" s="8">
        <v>140</v>
      </c>
      <c r="I40" s="8"/>
      <c r="J40" s="7"/>
      <c r="K40" s="70">
        <v>1</v>
      </c>
      <c r="L40" s="87"/>
    </row>
    <row r="41" spans="1:12" x14ac:dyDescent="0.2">
      <c r="A41" s="4" t="s">
        <v>44</v>
      </c>
      <c r="B41" s="103" t="s">
        <v>165</v>
      </c>
      <c r="C41" s="4" t="s">
        <v>166</v>
      </c>
      <c r="D41" s="97"/>
      <c r="E41" s="101">
        <v>8</v>
      </c>
      <c r="F41" s="115">
        <v>23.41</v>
      </c>
      <c r="G41" s="99">
        <f>E41*F41</f>
        <v>187.28</v>
      </c>
      <c r="H41" s="101"/>
      <c r="I41" s="101"/>
      <c r="J41" s="4"/>
      <c r="K41" s="102">
        <v>1</v>
      </c>
      <c r="L41" s="112" t="s">
        <v>173</v>
      </c>
    </row>
    <row r="42" spans="1:12" x14ac:dyDescent="0.2">
      <c r="A42" s="7" t="s">
        <v>44</v>
      </c>
      <c r="B42" s="132" t="s">
        <v>131</v>
      </c>
      <c r="C42" s="7"/>
      <c r="D42" s="68" t="s">
        <v>11</v>
      </c>
      <c r="E42" s="8">
        <v>9.5</v>
      </c>
      <c r="F42" s="76">
        <v>93.9</v>
      </c>
      <c r="G42" s="69">
        <f>E42*F42</f>
        <v>892.05000000000007</v>
      </c>
      <c r="H42" s="8"/>
      <c r="I42" s="8"/>
      <c r="J42" s="7"/>
      <c r="K42" s="70">
        <v>1</v>
      </c>
      <c r="L42" s="88" t="s">
        <v>173</v>
      </c>
    </row>
    <row r="43" spans="1:12" ht="17" thickBot="1" x14ac:dyDescent="0.25">
      <c r="A43" s="19"/>
      <c r="B43" s="89"/>
      <c r="C43" s="19"/>
      <c r="D43" s="90"/>
      <c r="E43" s="91"/>
      <c r="F43" s="92"/>
      <c r="G43" s="93"/>
      <c r="H43" s="93">
        <f>SUM(H19:H42)</f>
        <v>1544.8910000000001</v>
      </c>
      <c r="I43" s="94">
        <f>SUM(I22:I24)</f>
        <v>0</v>
      </c>
      <c r="J43" s="19"/>
      <c r="K43" s="95"/>
      <c r="L43" s="19"/>
    </row>
    <row r="44" spans="1:12" ht="17" thickTop="1" x14ac:dyDescent="0.2"/>
    <row r="50" spans="9:9" x14ac:dyDescent="0.2">
      <c r="I50" s="2" t="e" cm="1">
        <f t="array" ref="I50">5*tr</f>
        <v>#NAME?</v>
      </c>
    </row>
    <row r="65" spans="3:3" x14ac:dyDescent="0.2">
      <c r="C65" s="2">
        <f>2*3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9"/>
  <sheetViews>
    <sheetView topLeftCell="A5" workbookViewId="0">
      <selection activeCell="D36" sqref="D36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27" t="s">
        <v>135</v>
      </c>
      <c r="B7" s="127"/>
      <c r="C7" s="127"/>
      <c r="D7" s="127"/>
      <c r="E7" s="127"/>
      <c r="F7" s="127"/>
      <c r="G7" s="127"/>
      <c r="H7" s="127"/>
      <c r="I7" s="127"/>
    </row>
    <row r="8" spans="1:9" x14ac:dyDescent="0.2">
      <c r="A8" s="127"/>
      <c r="B8" s="127"/>
      <c r="C8" s="127"/>
      <c r="D8" s="127"/>
      <c r="E8" s="127"/>
      <c r="F8" s="127"/>
      <c r="G8" s="127"/>
      <c r="H8" s="127"/>
      <c r="I8" s="127"/>
    </row>
    <row r="9" spans="1:9" x14ac:dyDescent="0.2">
      <c r="A9" s="10"/>
      <c r="E9" s="25"/>
      <c r="F9" s="14"/>
    </row>
    <row r="12" spans="1:9" x14ac:dyDescent="0.2">
      <c r="C12" s="20"/>
    </row>
    <row r="13" spans="1:9" x14ac:dyDescent="0.2">
      <c r="B13" s="22"/>
      <c r="C13" s="24" t="s">
        <v>19</v>
      </c>
    </row>
    <row r="14" spans="1:9" x14ac:dyDescent="0.2">
      <c r="B14" s="10" t="s">
        <v>8</v>
      </c>
      <c r="C14" s="18" t="e">
        <f>#REF!</f>
        <v>#REF!</v>
      </c>
    </row>
    <row r="15" spans="1:9" x14ac:dyDescent="0.2">
      <c r="B15" s="10" t="s">
        <v>122</v>
      </c>
      <c r="C15" s="18" t="e">
        <f>#REF!</f>
        <v>#REF!</v>
      </c>
    </row>
    <row r="16" spans="1:9" x14ac:dyDescent="0.2">
      <c r="B16" s="10" t="s">
        <v>18</v>
      </c>
      <c r="C16" s="18" t="e">
        <f>#REF!</f>
        <v>#REF!</v>
      </c>
      <c r="E16" s="26"/>
    </row>
    <row r="17" spans="2:3" x14ac:dyDescent="0.2">
      <c r="B17" s="10" t="s">
        <v>17</v>
      </c>
      <c r="C17" s="18">
        <f>'HOLIDAYS AND NOTES'!F10</f>
        <v>340</v>
      </c>
    </row>
    <row r="18" spans="2:3" ht="17" thickBot="1" x14ac:dyDescent="0.25">
      <c r="B18" s="19" t="s">
        <v>20</v>
      </c>
      <c r="C18" s="86" t="e">
        <f>SUM(C14:C17)</f>
        <v>#REF!</v>
      </c>
    </row>
    <row r="19" spans="2:3" ht="17" thickTop="1" x14ac:dyDescent="0.2"/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2"/>
  <sheetViews>
    <sheetView workbookViewId="0">
      <selection activeCell="G34" sqref="G34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9" x14ac:dyDescent="0.2">
      <c r="C1" s="2" t="str">
        <f>+SUMMARY!A7</f>
        <v>PAYROLL 26rd Sept- 23UGLY DUMPLING  TEAM</v>
      </c>
    </row>
    <row r="3" spans="1:9" x14ac:dyDescent="0.2">
      <c r="A3" s="128" t="s">
        <v>6</v>
      </c>
      <c r="B3" s="128"/>
      <c r="C3" s="128"/>
      <c r="D3" s="128"/>
      <c r="E3" s="128"/>
      <c r="F3" s="128"/>
      <c r="G3" s="128"/>
    </row>
    <row r="4" spans="1:9" ht="24" x14ac:dyDescent="0.3">
      <c r="A4" s="129"/>
      <c r="B4" s="129"/>
      <c r="C4" s="129"/>
      <c r="D4" s="129"/>
      <c r="E4" s="129"/>
      <c r="F4" s="129"/>
      <c r="G4" s="129"/>
    </row>
    <row r="5" spans="1:9" x14ac:dyDescent="0.2">
      <c r="A5" s="80" t="s">
        <v>1</v>
      </c>
      <c r="B5" s="80" t="s">
        <v>2</v>
      </c>
      <c r="C5" s="80" t="s">
        <v>3</v>
      </c>
      <c r="D5" s="80" t="s">
        <v>4</v>
      </c>
      <c r="E5" s="80" t="s">
        <v>5</v>
      </c>
      <c r="F5" s="80" t="s">
        <v>7</v>
      </c>
      <c r="G5" s="80" t="s">
        <v>92</v>
      </c>
    </row>
    <row r="6" spans="1:9" x14ac:dyDescent="0.2">
      <c r="A6" s="23" t="s">
        <v>47</v>
      </c>
      <c r="B6" s="11"/>
      <c r="C6" s="11"/>
      <c r="D6" s="77">
        <v>8.5</v>
      </c>
      <c r="E6" s="21">
        <f>5*8</f>
        <v>40</v>
      </c>
      <c r="F6" s="78">
        <f>+E6*D6</f>
        <v>340</v>
      </c>
      <c r="G6" s="11"/>
    </row>
    <row r="7" spans="1:9" x14ac:dyDescent="0.2">
      <c r="A7" s="81"/>
      <c r="B7" s="82"/>
      <c r="C7" s="82"/>
      <c r="D7" s="83"/>
      <c r="E7" s="84"/>
      <c r="F7" s="85"/>
      <c r="G7" s="82"/>
    </row>
    <row r="8" spans="1:9" x14ac:dyDescent="0.2">
      <c r="A8" s="23"/>
      <c r="B8" s="11"/>
      <c r="C8" s="11"/>
      <c r="D8" s="77"/>
      <c r="E8" s="21"/>
      <c r="F8" s="78"/>
      <c r="G8" s="11"/>
    </row>
    <row r="9" spans="1:9" x14ac:dyDescent="0.2">
      <c r="A9" s="81"/>
      <c r="B9" s="82"/>
      <c r="C9" s="82"/>
      <c r="D9" s="83"/>
      <c r="E9" s="84"/>
      <c r="F9" s="85"/>
      <c r="G9" s="82"/>
    </row>
    <row r="10" spans="1:9" ht="17" thickBot="1" x14ac:dyDescent="0.25">
      <c r="A10" s="5" t="s">
        <v>7</v>
      </c>
      <c r="B10" s="6"/>
      <c r="C10" s="6"/>
      <c r="D10" s="6"/>
      <c r="E10" s="6"/>
      <c r="F10" s="12">
        <f>+SUM(F6:F9)</f>
        <v>340</v>
      </c>
      <c r="G10" s="79"/>
    </row>
    <row r="11" spans="1:9" ht="17" thickTop="1" x14ac:dyDescent="0.2">
      <c r="A11" s="15"/>
      <c r="B11" s="13"/>
      <c r="C11" s="13"/>
      <c r="D11" s="13"/>
      <c r="E11" s="13"/>
      <c r="F11" s="16"/>
      <c r="G11" s="3"/>
    </row>
    <row r="12" spans="1:9" x14ac:dyDescent="0.2">
      <c r="A12" s="128"/>
      <c r="B12" s="128"/>
      <c r="C12" s="128"/>
      <c r="D12" s="128"/>
      <c r="E12" s="128"/>
      <c r="F12" s="128"/>
      <c r="G12" s="128"/>
      <c r="H12" s="4"/>
      <c r="I12" s="3"/>
    </row>
  </sheetData>
  <mergeCells count="3">
    <mergeCell ref="A12:G12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zoomScale="120" zoomScaleNormal="120" workbookViewId="0">
      <selection activeCell="B18" sqref="B18:E18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26rd Sept- 23UGLY DUMPLING  TEAM</v>
      </c>
    </row>
    <row r="2" spans="1:12" x14ac:dyDescent="0.2">
      <c r="A2" s="27" t="s">
        <v>14</v>
      </c>
      <c r="B2" s="27"/>
    </row>
    <row r="4" spans="1:12" x14ac:dyDescent="0.2">
      <c r="A4" s="38"/>
      <c r="B4" s="39"/>
      <c r="C4" s="40"/>
      <c r="D4" s="40"/>
      <c r="E4" s="40"/>
      <c r="F4" s="40"/>
      <c r="G4" s="40"/>
      <c r="H4" s="40"/>
      <c r="I4" s="40"/>
      <c r="J4" s="40"/>
      <c r="K4" s="40"/>
      <c r="L4" s="41"/>
    </row>
    <row r="5" spans="1:12" x14ac:dyDescent="0.2">
      <c r="A5" s="38"/>
      <c r="B5" s="39"/>
      <c r="C5" s="40"/>
      <c r="D5" s="40"/>
      <c r="E5" s="40"/>
      <c r="F5" s="40"/>
      <c r="G5" s="40"/>
      <c r="H5" s="40"/>
      <c r="I5" s="40"/>
      <c r="J5" s="40"/>
      <c r="K5" s="40"/>
      <c r="L5" s="41"/>
    </row>
    <row r="6" spans="1:12" x14ac:dyDescent="0.2">
      <c r="A6" s="38"/>
      <c r="B6" s="39"/>
      <c r="C6" s="40"/>
      <c r="D6" s="40"/>
      <c r="E6" s="40"/>
      <c r="F6" s="40"/>
      <c r="G6" s="40"/>
      <c r="H6" s="40"/>
      <c r="I6" s="40"/>
      <c r="J6" s="40"/>
      <c r="K6" s="40"/>
      <c r="L6" s="41"/>
    </row>
    <row r="7" spans="1:12" x14ac:dyDescent="0.2">
      <c r="A7" s="38"/>
      <c r="B7" s="40"/>
      <c r="C7" s="40"/>
      <c r="D7" s="40"/>
      <c r="E7" s="40"/>
      <c r="F7" s="40"/>
      <c r="G7" s="40"/>
      <c r="H7" s="40"/>
      <c r="I7" s="40"/>
      <c r="J7" s="40"/>
      <c r="K7" s="40"/>
      <c r="L7" s="41"/>
    </row>
    <row r="8" spans="1:12" x14ac:dyDescent="0.2">
      <c r="A8" s="38"/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2">
      <c r="A9" s="38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2">
      <c r="A10" s="38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s="44" customFormat="1" ht="19" x14ac:dyDescent="0.25">
      <c r="A11" s="42"/>
      <c r="B11" s="56" t="s">
        <v>103</v>
      </c>
      <c r="C11" s="56" t="s">
        <v>89</v>
      </c>
      <c r="D11" s="56"/>
      <c r="E11" s="56" t="s">
        <v>128</v>
      </c>
      <c r="F11" s="56" t="s">
        <v>22</v>
      </c>
      <c r="G11" s="56" t="s">
        <v>23</v>
      </c>
      <c r="H11" s="56" t="s">
        <v>96</v>
      </c>
      <c r="I11" s="56" t="s">
        <v>33</v>
      </c>
      <c r="J11" s="56" t="s">
        <v>46</v>
      </c>
      <c r="K11" s="56" t="s">
        <v>88</v>
      </c>
      <c r="L11" s="43"/>
    </row>
    <row r="12" spans="1:12" x14ac:dyDescent="0.2">
      <c r="A12" s="45"/>
      <c r="B12" s="63" t="s">
        <v>136</v>
      </c>
      <c r="C12" s="46" t="s">
        <v>137</v>
      </c>
      <c r="D12" s="46"/>
      <c r="E12" s="55" t="s">
        <v>138</v>
      </c>
      <c r="F12" s="47" t="s">
        <v>139</v>
      </c>
      <c r="G12" s="48"/>
      <c r="H12" s="49"/>
      <c r="I12" s="30"/>
      <c r="J12" s="30"/>
      <c r="K12" s="30"/>
      <c r="L12" s="50"/>
    </row>
    <row r="13" spans="1:12" x14ac:dyDescent="0.2">
      <c r="A13" s="45"/>
      <c r="B13" s="65" t="s">
        <v>140</v>
      </c>
      <c r="C13" s="33" t="s">
        <v>141</v>
      </c>
      <c r="D13" s="33"/>
      <c r="E13" s="37" t="s">
        <v>171</v>
      </c>
      <c r="F13" s="36" t="s">
        <v>172</v>
      </c>
      <c r="G13" s="34"/>
      <c r="H13" s="35"/>
      <c r="I13" s="31"/>
      <c r="J13" s="31"/>
      <c r="K13" s="31"/>
      <c r="L13" s="50"/>
    </row>
    <row r="14" spans="1:12" x14ac:dyDescent="0.2">
      <c r="A14" s="45"/>
      <c r="B14" s="63" t="s">
        <v>142</v>
      </c>
      <c r="C14" s="46" t="s">
        <v>143</v>
      </c>
      <c r="D14" s="46"/>
      <c r="E14" s="52" t="s">
        <v>144</v>
      </c>
      <c r="F14" s="51" t="s">
        <v>145</v>
      </c>
      <c r="G14" s="48"/>
      <c r="H14" s="49"/>
      <c r="I14" s="30"/>
      <c r="J14" s="30"/>
      <c r="K14" s="30"/>
      <c r="L14" s="50"/>
    </row>
    <row r="15" spans="1:12" x14ac:dyDescent="0.2">
      <c r="A15" s="45"/>
      <c r="B15" s="65" t="s">
        <v>147</v>
      </c>
      <c r="C15" s="33" t="s">
        <v>167</v>
      </c>
      <c r="D15" s="33"/>
      <c r="E15" s="37" t="s">
        <v>148</v>
      </c>
      <c r="F15" s="36" t="s">
        <v>129</v>
      </c>
      <c r="G15" s="34" t="s">
        <v>168</v>
      </c>
      <c r="H15" s="35" t="s">
        <v>169</v>
      </c>
      <c r="I15" s="31"/>
      <c r="J15" s="31"/>
      <c r="K15" s="31" t="s">
        <v>170</v>
      </c>
      <c r="L15" s="50"/>
    </row>
    <row r="16" spans="1:12" x14ac:dyDescent="0.2">
      <c r="A16" s="45"/>
      <c r="B16" s="63" t="s">
        <v>150</v>
      </c>
      <c r="C16" s="2" t="s">
        <v>151</v>
      </c>
      <c r="D16" s="46"/>
      <c r="E16" s="49">
        <v>57214684</v>
      </c>
      <c r="F16" s="59" t="s">
        <v>152</v>
      </c>
      <c r="G16" s="48"/>
      <c r="H16" s="49"/>
      <c r="I16" s="30"/>
      <c r="J16" s="30"/>
      <c r="K16" s="30"/>
      <c r="L16" s="50"/>
    </row>
    <row r="17" spans="1:12" x14ac:dyDescent="0.2">
      <c r="A17" s="38"/>
      <c r="B17" s="65" t="s">
        <v>153</v>
      </c>
      <c r="C17" s="33" t="s">
        <v>154</v>
      </c>
      <c r="D17" s="33"/>
      <c r="E17" s="37" t="s">
        <v>155</v>
      </c>
      <c r="F17" s="36" t="s">
        <v>156</v>
      </c>
      <c r="G17" s="34"/>
      <c r="H17" s="35"/>
      <c r="I17" s="31"/>
      <c r="J17" s="31"/>
      <c r="K17" s="31"/>
      <c r="L17" s="50"/>
    </row>
    <row r="18" spans="1:12" x14ac:dyDescent="0.2">
      <c r="A18" s="40"/>
      <c r="B18" s="63"/>
      <c r="C18" s="46"/>
      <c r="D18" s="54"/>
      <c r="E18" s="55"/>
      <c r="F18" s="47"/>
      <c r="G18" s="48"/>
      <c r="H18" s="49"/>
      <c r="I18" s="30"/>
      <c r="J18" s="62"/>
      <c r="K18" s="30"/>
      <c r="L18" s="50"/>
    </row>
    <row r="19" spans="1:12" x14ac:dyDescent="0.2">
      <c r="A19" s="38"/>
      <c r="B19" s="65"/>
      <c r="C19" s="33"/>
      <c r="D19" s="33"/>
      <c r="E19" s="37"/>
      <c r="F19" s="36"/>
      <c r="G19" s="34"/>
      <c r="H19" s="31"/>
      <c r="I19" s="31"/>
      <c r="J19" s="31"/>
      <c r="K19" s="31"/>
      <c r="L19" s="50"/>
    </row>
    <row r="20" spans="1:12" x14ac:dyDescent="0.2">
      <c r="A20" s="38"/>
      <c r="B20" s="63"/>
      <c r="C20" s="46"/>
      <c r="D20" s="46"/>
      <c r="E20" s="52"/>
      <c r="F20" s="51"/>
      <c r="G20" s="48"/>
      <c r="H20" s="30"/>
      <c r="I20" s="30"/>
      <c r="J20" s="30"/>
      <c r="K20" s="30"/>
      <c r="L20" s="50"/>
    </row>
    <row r="21" spans="1:12" x14ac:dyDescent="0.2">
      <c r="A21" s="40"/>
      <c r="B21" s="65"/>
      <c r="C21" s="33"/>
      <c r="D21" s="33"/>
      <c r="E21" s="37"/>
      <c r="F21" s="36"/>
      <c r="G21" s="1"/>
      <c r="H21" s="31"/>
      <c r="I21" s="31"/>
      <c r="J21" s="31"/>
      <c r="K21" s="31"/>
      <c r="L21" s="30"/>
    </row>
    <row r="22" spans="1:12" x14ac:dyDescent="0.2">
      <c r="A22" s="40"/>
      <c r="B22" s="63"/>
      <c r="C22" s="40"/>
      <c r="D22" s="40"/>
      <c r="E22" s="60"/>
      <c r="F22" s="61"/>
      <c r="H22" s="40"/>
      <c r="I22" s="40"/>
      <c r="J22" s="40"/>
      <c r="K22" s="40"/>
      <c r="L22" s="40"/>
    </row>
    <row r="23" spans="1:12" x14ac:dyDescent="0.2">
      <c r="B23" s="66"/>
      <c r="C23" s="17"/>
      <c r="D23" s="17"/>
      <c r="E23" s="67"/>
      <c r="F23" s="67"/>
      <c r="G23" s="17"/>
      <c r="H23" s="17"/>
      <c r="I23" s="17"/>
      <c r="J23" s="17"/>
      <c r="K23" s="17"/>
    </row>
    <row r="24" spans="1:12" x14ac:dyDescent="0.2">
      <c r="B24" s="64"/>
      <c r="E24" s="53"/>
      <c r="F24" s="59"/>
    </row>
    <row r="25" spans="1:12" x14ac:dyDescent="0.2">
      <c r="B25" s="66"/>
      <c r="C25" s="17"/>
      <c r="D25" s="17"/>
      <c r="E25" s="67"/>
      <c r="F25" s="67"/>
      <c r="G25" s="17"/>
      <c r="H25" s="17"/>
      <c r="I25" s="17"/>
      <c r="J25" s="17"/>
      <c r="K25" s="17"/>
    </row>
    <row r="26" spans="1:12" x14ac:dyDescent="0.2">
      <c r="B26" s="64"/>
      <c r="E26" s="59"/>
      <c r="F26" s="59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16"/>
  <sheetViews>
    <sheetView topLeftCell="A2" workbookViewId="0">
      <selection activeCell="D17" sqref="D17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6" style="2" bestFit="1" customWidth="1"/>
    <col min="13" max="16384" width="10.83203125" style="2"/>
  </cols>
  <sheetData>
    <row r="6" spans="1:12" x14ac:dyDescent="0.2">
      <c r="C6" s="2" t="s">
        <v>70</v>
      </c>
      <c r="D6" s="2" t="s">
        <v>62</v>
      </c>
      <c r="E6" s="2" t="s">
        <v>71</v>
      </c>
      <c r="F6" s="2" t="s">
        <v>74</v>
      </c>
      <c r="G6" s="2" t="s">
        <v>72</v>
      </c>
      <c r="I6" s="2" t="s">
        <v>73</v>
      </c>
      <c r="J6" s="2" t="s">
        <v>65</v>
      </c>
      <c r="K6" s="2" t="s">
        <v>91</v>
      </c>
      <c r="L6" s="2" t="s">
        <v>79</v>
      </c>
    </row>
    <row r="7" spans="1:12" x14ac:dyDescent="0.2">
      <c r="B7" s="2" t="s">
        <v>60</v>
      </c>
      <c r="C7" s="2">
        <v>180.46</v>
      </c>
      <c r="D7" s="2">
        <f>90*70</f>
        <v>6300</v>
      </c>
      <c r="E7" s="2">
        <v>15693</v>
      </c>
      <c r="F7" s="2">
        <f>E7-D7</f>
        <v>9393</v>
      </c>
      <c r="G7" s="2">
        <f>C7-B14</f>
        <v>100.46000000000001</v>
      </c>
      <c r="H7" s="2">
        <f>G7*$B$12</f>
        <v>7534.5000000000009</v>
      </c>
      <c r="I7" s="2">
        <f>F7-H7</f>
        <v>1858.4999999999991</v>
      </c>
      <c r="J7" s="28">
        <f>I7*$B$11</f>
        <v>92.924999999999955</v>
      </c>
      <c r="K7" s="57">
        <f>J7/G7</f>
        <v>0.92499502289468394</v>
      </c>
      <c r="L7" s="32">
        <f>C7-B14</f>
        <v>100.46000000000001</v>
      </c>
    </row>
    <row r="8" spans="1:12" ht="17" customHeight="1" x14ac:dyDescent="0.2">
      <c r="B8" s="2" t="s">
        <v>61</v>
      </c>
      <c r="C8" s="2">
        <v>94.85</v>
      </c>
      <c r="D8" s="2">
        <f>$B$13*B15</f>
        <v>540</v>
      </c>
      <c r="E8" s="2">
        <v>8684</v>
      </c>
      <c r="F8" s="2">
        <f t="shared" ref="F8" si="0">E8-D8</f>
        <v>8144</v>
      </c>
      <c r="G8" s="2">
        <f>C8-B15</f>
        <v>88.85</v>
      </c>
      <c r="H8" s="2">
        <f>G8*$B$12</f>
        <v>6663.75</v>
      </c>
      <c r="I8" s="2">
        <f>F8-H8</f>
        <v>1480.25</v>
      </c>
      <c r="J8" s="28"/>
      <c r="K8" s="58">
        <f t="shared" ref="K8" si="1">J8/G8</f>
        <v>0</v>
      </c>
      <c r="L8" s="32">
        <f>C8-B15</f>
        <v>88.85</v>
      </c>
    </row>
    <row r="10" spans="1:12" x14ac:dyDescent="0.2">
      <c r="A10" s="2" t="s">
        <v>66</v>
      </c>
    </row>
    <row r="11" spans="1:12" x14ac:dyDescent="0.2">
      <c r="A11" s="2" t="s">
        <v>67</v>
      </c>
      <c r="B11" s="2">
        <v>0.05</v>
      </c>
    </row>
    <row r="12" spans="1:12" x14ac:dyDescent="0.2">
      <c r="A12" s="2" t="s">
        <v>68</v>
      </c>
      <c r="B12" s="2">
        <v>75</v>
      </c>
    </row>
    <row r="13" spans="1:12" x14ac:dyDescent="0.2">
      <c r="A13" s="2" t="s">
        <v>69</v>
      </c>
      <c r="B13" s="2">
        <v>90</v>
      </c>
    </row>
    <row r="14" spans="1:12" x14ac:dyDescent="0.2">
      <c r="A14" s="27" t="s">
        <v>64</v>
      </c>
      <c r="B14" s="2">
        <v>80</v>
      </c>
      <c r="C14" s="2" t="s">
        <v>130</v>
      </c>
    </row>
    <row r="15" spans="1:12" x14ac:dyDescent="0.2">
      <c r="A15" s="27" t="s">
        <v>63</v>
      </c>
      <c r="B15" s="2">
        <v>6</v>
      </c>
    </row>
    <row r="16" spans="1:12" x14ac:dyDescent="0.2">
      <c r="A16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FOH&amp;BOH </vt:lpstr>
      <vt:lpstr>SUMMARY</vt:lpstr>
      <vt:lpstr>HOLIDAYS AND NOTES</vt:lpstr>
      <vt:lpstr>STARTERS DETAILS </vt:lpstr>
      <vt:lpstr>Dumpling Bonus 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2022-11-21T16:58:49Z</dcterms:modified>
</cp:coreProperties>
</file>