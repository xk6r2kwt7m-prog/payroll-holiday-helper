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3/"/>
    </mc:Choice>
  </mc:AlternateContent>
  <xr:revisionPtr revIDLastSave="0" documentId="13_ncr:1_{956ABCD0-5A3B-3C46-809D-FA36FC1BB26B}" xr6:coauthVersionLast="47" xr6:coauthVersionMax="47" xr10:uidLastSave="{00000000-0000-0000-0000-000000000000}"/>
  <bookViews>
    <workbookView xWindow="0" yWindow="0" windowWidth="28800" windowHeight="18000" tabRatio="500" activeTab="3" xr2:uid="{00000000-000D-0000-FFFF-FFFF00000000}"/>
  </bookViews>
  <sheets>
    <sheet name="Summary " sheetId="3" r:id="rId1"/>
    <sheet name="Timesheet " sheetId="9" r:id="rId2"/>
    <sheet name="Holiday notes " sheetId="2" r:id="rId3"/>
    <sheet name="Starter checklist " sheetId="4" r:id="rId4"/>
    <sheet name="Dumpling Bonus " sheetId="6" r:id="rId5"/>
    <sheet name="new" sheetId="8" r:id="rId6"/>
  </sheets>
  <definedNames>
    <definedName name="_xlnm.Print_Area" localSheetId="2">'Holiday notes '!$A$4:$F$18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1" i="9" l="1"/>
  <c r="H15" i="9"/>
  <c r="H42" i="9" s="1"/>
  <c r="I42" i="9"/>
  <c r="C15" i="3" s="1"/>
  <c r="J41" i="9"/>
  <c r="K41" i="9" s="1"/>
  <c r="E11" i="2"/>
  <c r="E10" i="2"/>
  <c r="E6" i="2"/>
  <c r="E9" i="2"/>
  <c r="E8" i="2"/>
  <c r="E7" i="2"/>
  <c r="I37" i="9"/>
  <c r="J37" i="9"/>
  <c r="K37" i="9" s="1"/>
  <c r="K38" i="9"/>
  <c r="K21" i="9"/>
  <c r="K8" i="9"/>
  <c r="K9" i="9"/>
  <c r="K10" i="9"/>
  <c r="K11" i="9"/>
  <c r="K12" i="9"/>
  <c r="K13" i="9"/>
  <c r="K15" i="9"/>
  <c r="K16" i="9"/>
  <c r="K17" i="9"/>
  <c r="K18" i="9"/>
  <c r="K19" i="9"/>
  <c r="K20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9" i="9"/>
  <c r="K40" i="9"/>
  <c r="K7" i="9"/>
  <c r="J14" i="9"/>
  <c r="K14" i="9" s="1"/>
  <c r="F13" i="2"/>
  <c r="D7" i="6"/>
  <c r="D8" i="6"/>
  <c r="F15" i="2"/>
  <c r="F14" i="2"/>
  <c r="F11" i="2"/>
  <c r="F10" i="2"/>
  <c r="F9" i="2"/>
  <c r="F7" i="2"/>
  <c r="F6" i="2"/>
  <c r="J42" i="9" l="1"/>
  <c r="K42" i="9"/>
  <c r="C14" i="3" s="1"/>
  <c r="F12" i="2" l="1"/>
  <c r="B23" i="6"/>
  <c r="G26" i="6" l="1"/>
  <c r="F26" i="6"/>
  <c r="F27" i="6"/>
  <c r="E25" i="6"/>
  <c r="F8" i="6"/>
  <c r="G8" i="6"/>
  <c r="F16" i="2" l="1"/>
  <c r="C16" i="3" s="1"/>
  <c r="H8" i="6"/>
  <c r="I8" i="6" s="1"/>
  <c r="L7" i="6" l="1"/>
  <c r="F7" i="6" l="1"/>
  <c r="G7" i="6" l="1"/>
  <c r="H7" i="6" l="1"/>
  <c r="L8" i="6"/>
  <c r="I7" i="6" l="1"/>
  <c r="J7" i="6" s="1"/>
  <c r="J8" i="6"/>
  <c r="K8" i="6" l="1"/>
  <c r="C17" i="3"/>
  <c r="K7" i="6" l="1"/>
  <c r="B1" i="4"/>
  <c r="C1" i="2"/>
</calcChain>
</file>

<file path=xl/sharedStrings.xml><?xml version="1.0" encoding="utf-8"?>
<sst xmlns="http://schemas.openxmlformats.org/spreadsheetml/2006/main" count="185" uniqueCount="166">
  <si>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</si>
  <si>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</si>
  <si>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</si>
  <si>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</si>
  <si>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</si>
  <si>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</si>
  <si>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</si>
  <si>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PAYROLL TOTAL</t>
  </si>
  <si>
    <t xml:space="preserve">NOTES </t>
  </si>
  <si>
    <t>HOLIDAYS TOTAL</t>
  </si>
  <si>
    <t xml:space="preserve">TOTAL </t>
  </si>
  <si>
    <t xml:space="preserve">TOTAL PAYROLL </t>
  </si>
  <si>
    <t>Sort Code</t>
  </si>
  <si>
    <t xml:space="preserve">Nationality </t>
  </si>
  <si>
    <t>Cham</t>
  </si>
  <si>
    <t xml:space="preserve">Lissette </t>
  </si>
  <si>
    <t xml:space="preserve">Lau </t>
  </si>
  <si>
    <t xml:space="preserve">Setlment status </t>
  </si>
  <si>
    <t xml:space="preserve">Bruno </t>
  </si>
  <si>
    <t xml:space="preserve">Martins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</si>
  <si>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</si>
  <si>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</si>
  <si>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</si>
  <si>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</si>
  <si>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</si>
  <si>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</si>
  <si>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</si>
  <si>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</si>
  <si>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</si>
  <si>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</si>
  <si>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</si>
  <si>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</si>
  <si>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</si>
  <si>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</si>
  <si>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</si>
  <si>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</si>
  <si>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</si>
  <si>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hours after bonus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</si>
  <si>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</si>
  <si>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</si>
  <si>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</si>
  <si>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</si>
  <si>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</si>
  <si>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</si>
  <si>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>Passaport nb</t>
  </si>
  <si>
    <t xml:space="preserve">Matos </t>
  </si>
  <si>
    <t xml:space="preserve">Olga </t>
  </si>
  <si>
    <t xml:space="preserve">Ramos </t>
  </si>
  <si>
    <t xml:space="preserve">Rahim </t>
  </si>
  <si>
    <t xml:space="preserve">Setareh </t>
  </si>
  <si>
    <t xml:space="preserve">Saeedfar </t>
  </si>
  <si>
    <t xml:space="preserve">Endea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</si>
  <si>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</si>
  <si>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</si>
  <si>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</si>
  <si>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</si>
  <si>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</si>
  <si>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</si>
  <si>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</si>
  <si>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Bank Account N</t>
  </si>
  <si>
    <t>hours</t>
  </si>
  <si>
    <t xml:space="preserve">Roger </t>
  </si>
  <si>
    <t xml:space="preserve">Rodriguez </t>
  </si>
  <si>
    <t>§</t>
  </si>
  <si>
    <t xml:space="preserve"> Sharing Code</t>
  </si>
  <si>
    <t xml:space="preserve">Leaver </t>
  </si>
  <si>
    <t xml:space="preserve">Luisa </t>
  </si>
  <si>
    <t xml:space="preserve">Valenzuela </t>
  </si>
  <si>
    <t xml:space="preserve">Marc </t>
  </si>
  <si>
    <t xml:space="preserve">Boltman </t>
  </si>
  <si>
    <t xml:space="preserve">David </t>
  </si>
  <si>
    <t>Ada</t>
  </si>
  <si>
    <t xml:space="preserve">Heidy </t>
  </si>
  <si>
    <t>Leaver</t>
  </si>
  <si>
    <t xml:space="preserve">Starter </t>
  </si>
  <si>
    <t xml:space="preserve">George </t>
  </si>
  <si>
    <t xml:space="preserve">Helen </t>
  </si>
  <si>
    <t xml:space="preserve">Iara </t>
  </si>
  <si>
    <t xml:space="preserve">Bitiakov </t>
  </si>
  <si>
    <t xml:space="preserve">Yengil </t>
  </si>
  <si>
    <t xml:space="preserve">Cabrita </t>
  </si>
  <si>
    <t xml:space="preserve">Jess </t>
  </si>
  <si>
    <t>07.04.36</t>
  </si>
  <si>
    <t xml:space="preserve">Surname </t>
  </si>
  <si>
    <t xml:space="preserve">Forename </t>
  </si>
  <si>
    <t xml:space="preserve">H. Rate </t>
  </si>
  <si>
    <t xml:space="preserve">Timesheet </t>
  </si>
  <si>
    <t xml:space="preserve">Pay </t>
  </si>
  <si>
    <t xml:space="preserve">S. C. </t>
  </si>
  <si>
    <t xml:space="preserve">Sp. Bonus </t>
  </si>
  <si>
    <t xml:space="preserve">Paredes </t>
  </si>
  <si>
    <t xml:space="preserve">Tamar </t>
  </si>
  <si>
    <t xml:space="preserve">Silvio </t>
  </si>
  <si>
    <t xml:space="preserve">Ania </t>
  </si>
  <si>
    <t xml:space="preserve">Department </t>
  </si>
  <si>
    <t>Rios</t>
  </si>
  <si>
    <t xml:space="preserve">Man </t>
  </si>
  <si>
    <t xml:space="preserve">Horetska </t>
  </si>
  <si>
    <t>Yanev</t>
  </si>
  <si>
    <t xml:space="preserve">Anny </t>
  </si>
  <si>
    <t xml:space="preserve">Feliz </t>
  </si>
  <si>
    <t xml:space="preserve">Jhuli </t>
  </si>
  <si>
    <t xml:space="preserve">Vallejos </t>
  </si>
  <si>
    <t xml:space="preserve">Rios </t>
  </si>
  <si>
    <t>Pedro</t>
  </si>
  <si>
    <t xml:space="preserve">Andre </t>
  </si>
  <si>
    <t xml:space="preserve">Priston </t>
  </si>
  <si>
    <t xml:space="preserve">Stratcham </t>
  </si>
  <si>
    <t xml:space="preserve">Oliveira de Deus </t>
  </si>
  <si>
    <t xml:space="preserve">Ferreira da Mata </t>
  </si>
  <si>
    <t xml:space="preserve">Almeida </t>
  </si>
  <si>
    <t xml:space="preserve">Grigori </t>
  </si>
  <si>
    <t xml:space="preserve">BOH </t>
  </si>
  <si>
    <t>Anny</t>
  </si>
  <si>
    <t xml:space="preserve">Hafiz </t>
  </si>
  <si>
    <t xml:space="preserve">Akshay </t>
  </si>
  <si>
    <t xml:space="preserve">CPU </t>
  </si>
  <si>
    <t xml:space="preserve">Lorna </t>
  </si>
  <si>
    <t xml:space="preserve">Quilumba </t>
  </si>
  <si>
    <t xml:space="preserve">Mathew </t>
  </si>
  <si>
    <t xml:space="preserve">Kelsey </t>
  </si>
  <si>
    <t>Oil Lan</t>
  </si>
  <si>
    <t xml:space="preserve">FOH </t>
  </si>
  <si>
    <t xml:space="preserve">Total </t>
  </si>
  <si>
    <t>starte r</t>
  </si>
  <si>
    <t xml:space="preserve">Andre  Ferreira da Mata </t>
  </si>
  <si>
    <t>SL119739D</t>
  </si>
  <si>
    <t>98495300</t>
  </si>
  <si>
    <t>40.11.92</t>
  </si>
  <si>
    <t xml:space="preserve">Pedro de Deus </t>
  </si>
  <si>
    <t>20.96.55</t>
  </si>
  <si>
    <t>AG194789B</t>
  </si>
  <si>
    <t xml:space="preserve">Silvio Yanev </t>
  </si>
  <si>
    <t>SR204184A</t>
  </si>
  <si>
    <t>13735463</t>
  </si>
  <si>
    <t xml:space="preserve">80.48.31 </t>
  </si>
  <si>
    <t xml:space="preserve">TJ474863D </t>
  </si>
  <si>
    <t>39088060</t>
  </si>
  <si>
    <t>30.97.85</t>
  </si>
  <si>
    <t xml:space="preserve">Akshay  Mathew </t>
  </si>
  <si>
    <t>32519898</t>
  </si>
  <si>
    <t>23.69.72</t>
  </si>
  <si>
    <t xml:space="preserve">Arisnorky Feliz </t>
  </si>
  <si>
    <t>NJ812412A</t>
  </si>
  <si>
    <t xml:space="preserve">Priston Almeida </t>
  </si>
  <si>
    <t>TJ504303D</t>
  </si>
  <si>
    <t>71253768</t>
  </si>
  <si>
    <t>30.99.32</t>
  </si>
  <si>
    <t xml:space="preserve">Yuliia  Horetska </t>
  </si>
  <si>
    <t>TK310446C</t>
  </si>
  <si>
    <t>98390890</t>
  </si>
  <si>
    <t>04.00.03</t>
  </si>
  <si>
    <t>PJ384890C</t>
  </si>
  <si>
    <t>42816638</t>
  </si>
  <si>
    <t xml:space="preserve">Ania Man </t>
  </si>
  <si>
    <t xml:space="preserve">Starters </t>
  </si>
  <si>
    <t xml:space="preserve">Status </t>
  </si>
  <si>
    <t xml:space="preserve">Notes </t>
  </si>
  <si>
    <t xml:space="preserve">Pay increase to 10 </t>
  </si>
  <si>
    <t xml:space="preserve">Yuliia </t>
  </si>
  <si>
    <t xml:space="preserve">yet to starter </t>
  </si>
  <si>
    <t xml:space="preserve">Arisnorky </t>
  </si>
  <si>
    <t xml:space="preserve">UGLY DUMPLING </t>
  </si>
  <si>
    <t xml:space="preserve">Payroll period </t>
  </si>
  <si>
    <t xml:space="preserve">25th of Sept to 22nd of Oct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</si>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</sst>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color theme="1"/>
      <name val="Calibri"/>
      <family val="2"/>
    </font>
    <font>
      <b/>
      <sz val="10"/>
      <color rgb="FFFF0000"/>
      <name val="Calibri Light"/>
      <family val="2"/>
      <scheme val="major"/>
    </font>
    <font>
      <sz val="12"/>
      <color theme="9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6" fillId="2" borderId="0" xfId="0" applyFont="1" applyFill="1"/>
    <xf numFmtId="0" fontId="8" fillId="2" borderId="1" xfId="0" applyFont="1" applyFill="1" applyBorder="1" applyAlignment="1"/>
    <xf numFmtId="0" fontId="7" fillId="2" borderId="1" xfId="0" applyFont="1" applyFill="1" applyBorder="1"/>
    <xf numFmtId="0" fontId="11" fillId="2" borderId="0" xfId="0" applyFont="1" applyFill="1"/>
    <xf numFmtId="0" fontId="9" fillId="2" borderId="0" xfId="0" applyFont="1" applyFill="1" applyBorder="1" applyAlignment="1">
      <alignment horizontal="center" vertical="center"/>
    </xf>
    <xf numFmtId="0" fontId="7" fillId="2" borderId="0" xfId="0" applyFont="1" applyFill="1" applyBorder="1"/>
    <xf numFmtId="0" fontId="2" fillId="2" borderId="0" xfId="0" applyFont="1" applyFill="1" applyAlignment="1">
      <alignment horizontal="center"/>
    </xf>
    <xf numFmtId="0" fontId="8" fillId="2" borderId="0" xfId="0" applyFont="1" applyFill="1" applyBorder="1" applyAlignment="1"/>
    <xf numFmtId="165" fontId="7" fillId="2" borderId="0" xfId="0" applyNumberFormat="1" applyFont="1" applyFill="1" applyBorder="1"/>
    <xf numFmtId="0" fontId="0" fillId="3" borderId="0" xfId="0" applyFill="1"/>
    <xf numFmtId="167" fontId="11" fillId="2" borderId="0" xfId="0" applyNumberFormat="1" applyFont="1" applyFill="1"/>
    <xf numFmtId="0" fontId="12" fillId="2" borderId="1" xfId="0" applyFont="1" applyFill="1" applyBorder="1"/>
    <xf numFmtId="9" fontId="14" fillId="2" borderId="0" xfId="79" applyFont="1" applyFill="1"/>
    <xf numFmtId="0" fontId="11" fillId="4" borderId="2" xfId="0" applyFont="1" applyFill="1" applyBorder="1"/>
    <xf numFmtId="0" fontId="10" fillId="2" borderId="0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right"/>
    </xf>
    <xf numFmtId="167" fontId="0" fillId="2" borderId="0" xfId="0" applyNumberFormat="1" applyFill="1"/>
    <xf numFmtId="0" fontId="2" fillId="2" borderId="0" xfId="0" applyFont="1" applyFill="1"/>
    <xf numFmtId="165" fontId="2" fillId="2" borderId="0" xfId="0" applyNumberFormat="1" applyFont="1" applyFill="1"/>
    <xf numFmtId="0" fontId="17" fillId="2" borderId="0" xfId="0" applyFont="1" applyFill="1" applyBorder="1"/>
    <xf numFmtId="0" fontId="17" fillId="3" borderId="0" xfId="0" applyFont="1" applyFill="1" applyBorder="1"/>
    <xf numFmtId="0" fontId="14" fillId="2" borderId="0" xfId="0" applyFont="1" applyFill="1"/>
    <xf numFmtId="0" fontId="17" fillId="3" borderId="0" xfId="0" applyFont="1" applyFill="1" applyBorder="1" applyAlignment="1"/>
    <xf numFmtId="1" fontId="17" fillId="3" borderId="0" xfId="0" applyNumberFormat="1" applyFont="1" applyFill="1" applyBorder="1" applyAlignment="1"/>
    <xf numFmtId="0" fontId="17" fillId="3" borderId="0" xfId="0" applyFont="1" applyFill="1" applyBorder="1" applyAlignment="1">
      <alignment horizontal="left"/>
    </xf>
    <xf numFmtId="1" fontId="17" fillId="3" borderId="0" xfId="0" applyNumberFormat="1" applyFont="1" applyFill="1" applyBorder="1" applyAlignment="1">
      <alignment horizontal="left"/>
    </xf>
    <xf numFmtId="49" fontId="17" fillId="3" borderId="0" xfId="0" applyNumberFormat="1" applyFont="1" applyFill="1" applyBorder="1" applyAlignment="1">
      <alignment horizontal="left"/>
    </xf>
    <xf numFmtId="0" fontId="0" fillId="2" borderId="3" xfId="0" applyFill="1" applyBorder="1"/>
    <xf numFmtId="0" fontId="0" fillId="2" borderId="0" xfId="0" applyFont="1" applyFill="1" applyBorder="1"/>
    <xf numFmtId="0" fontId="0" fillId="2" borderId="0" xfId="0" applyFill="1" applyBorder="1"/>
    <xf numFmtId="0" fontId="0" fillId="2" borderId="4" xfId="0" applyFill="1" applyBorder="1"/>
    <xf numFmtId="0" fontId="15" fillId="2" borderId="3" xfId="0" applyFont="1" applyFill="1" applyBorder="1"/>
    <xf numFmtId="0" fontId="16" fillId="2" borderId="0" xfId="0" applyFont="1" applyFill="1" applyBorder="1"/>
    <xf numFmtId="0" fontId="15" fillId="2" borderId="0" xfId="0" applyFont="1" applyFill="1"/>
    <xf numFmtId="0" fontId="2" fillId="2" borderId="3" xfId="0" applyFont="1" applyFill="1" applyBorder="1"/>
    <xf numFmtId="0" fontId="17" fillId="2" borderId="0" xfId="0" applyFont="1" applyFill="1" applyBorder="1" applyAlignment="1"/>
    <xf numFmtId="1" fontId="17" fillId="2" borderId="0" xfId="0" applyNumberFormat="1" applyFont="1" applyFill="1" applyAlignment="1">
      <alignment horizontal="left"/>
    </xf>
    <xf numFmtId="1" fontId="17" fillId="2" borderId="0" xfId="0" applyNumberFormat="1" applyFont="1" applyFill="1" applyBorder="1" applyAlignment="1"/>
    <xf numFmtId="0" fontId="17" fillId="2" borderId="0" xfId="0" applyFont="1" applyFill="1" applyBorder="1" applyAlignment="1">
      <alignment horizontal="left"/>
    </xf>
    <xf numFmtId="0" fontId="17" fillId="2" borderId="4" xfId="0" applyFont="1" applyFill="1" applyBorder="1"/>
    <xf numFmtId="1" fontId="17" fillId="2" borderId="0" xfId="0" applyNumberFormat="1" applyFont="1" applyFill="1" applyBorder="1" applyAlignment="1">
      <alignment horizontal="left"/>
    </xf>
    <xf numFmtId="49" fontId="17" fillId="2" borderId="0" xfId="0" applyNumberFormat="1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16" fillId="2" borderId="2" xfId="0" applyFont="1" applyFill="1" applyBorder="1"/>
    <xf numFmtId="165" fontId="0" fillId="2" borderId="0" xfId="0" applyNumberFormat="1" applyFill="1"/>
    <xf numFmtId="165" fontId="14" fillId="2" borderId="0" xfId="0" applyNumberFormat="1" applyFont="1" applyFill="1"/>
    <xf numFmtId="0" fontId="0" fillId="2" borderId="0" xfId="0" applyFill="1" applyAlignment="1">
      <alignment horizontal="left"/>
    </xf>
    <xf numFmtId="0" fontId="0" fillId="2" borderId="0" xfId="0" quotePrefix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2" fontId="17" fillId="2" borderId="0" xfId="0" applyNumberFormat="1" applyFont="1" applyFill="1" applyBorder="1"/>
    <xf numFmtId="0" fontId="18" fillId="2" borderId="0" xfId="0" applyFont="1" applyFill="1" applyBorder="1"/>
    <xf numFmtId="0" fontId="18" fillId="2" borderId="0" xfId="0" applyFont="1" applyFill="1"/>
    <xf numFmtId="0" fontId="18" fillId="3" borderId="0" xfId="0" applyFont="1" applyFill="1" applyBorder="1"/>
    <xf numFmtId="0" fontId="18" fillId="3" borderId="0" xfId="0" applyFont="1" applyFill="1"/>
    <xf numFmtId="0" fontId="0" fillId="3" borderId="0" xfId="0" applyFill="1" applyAlignment="1">
      <alignment horizontal="left"/>
    </xf>
    <xf numFmtId="165" fontId="10" fillId="2" borderId="0" xfId="78" applyNumberFormat="1" applyFont="1" applyFill="1" applyBorder="1" applyAlignment="1">
      <alignment vertical="center"/>
    </xf>
    <xf numFmtId="164" fontId="9" fillId="2" borderId="0" xfId="78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/>
    </xf>
    <xf numFmtId="0" fontId="9" fillId="2" borderId="5" xfId="0" applyFont="1" applyFill="1" applyBorder="1" applyAlignment="1">
      <alignment horizontal="center" vertical="center"/>
    </xf>
    <xf numFmtId="167" fontId="12" fillId="5" borderId="1" xfId="0" applyNumberFormat="1" applyFont="1" applyFill="1" applyBorder="1"/>
    <xf numFmtId="0" fontId="20" fillId="2" borderId="0" xfId="0" applyFont="1" applyFill="1"/>
    <xf numFmtId="164" fontId="9" fillId="2" borderId="1" xfId="78" applyFont="1" applyFill="1" applyBorder="1" applyAlignment="1">
      <alignment horizontal="center" vertical="center"/>
    </xf>
    <xf numFmtId="10" fontId="14" fillId="2" borderId="0" xfId="79" applyNumberFormat="1" applyFont="1" applyFill="1"/>
    <xf numFmtId="0" fontId="10" fillId="2" borderId="0" xfId="0" applyNumberFormat="1" applyFont="1" applyFill="1" applyBorder="1" applyAlignment="1">
      <alignment horizontal="center" vertical="center"/>
    </xf>
    <xf numFmtId="44" fontId="19" fillId="2" borderId="0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11" fillId="2" borderId="6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22" fillId="2" borderId="0" xfId="0" applyFont="1" applyFill="1"/>
    <xf numFmtId="0" fontId="11" fillId="2" borderId="21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left" vertical="center"/>
    </xf>
    <xf numFmtId="49" fontId="17" fillId="2" borderId="0" xfId="0" applyNumberFormat="1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49" fontId="17" fillId="2" borderId="0" xfId="0" applyNumberFormat="1" applyFont="1" applyFill="1" applyBorder="1" applyAlignment="1">
      <alignment horizontal="left" vertical="top"/>
    </xf>
    <xf numFmtId="49" fontId="17" fillId="3" borderId="0" xfId="0" applyNumberFormat="1" applyFont="1" applyFill="1" applyBorder="1" applyAlignment="1">
      <alignment horizontal="left" vertical="top"/>
    </xf>
    <xf numFmtId="0" fontId="11" fillId="2" borderId="11" xfId="0" applyFont="1" applyFill="1" applyBorder="1" applyAlignment="1">
      <alignment horizontal="left" vertical="center"/>
    </xf>
    <xf numFmtId="0" fontId="11" fillId="6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1" fillId="6" borderId="16" xfId="0" applyFont="1" applyFill="1" applyBorder="1" applyAlignment="1">
      <alignment horizontal="left" vertical="center"/>
    </xf>
    <xf numFmtId="0" fontId="11" fillId="6" borderId="10" xfId="0" applyFont="1" applyFill="1" applyBorder="1" applyAlignment="1">
      <alignment horizontal="left" vertical="center"/>
    </xf>
    <xf numFmtId="0" fontId="11" fillId="6" borderId="11" xfId="0" applyFont="1" applyFill="1" applyBorder="1" applyAlignment="1">
      <alignment horizontal="left" vertical="center"/>
    </xf>
    <xf numFmtId="0" fontId="11" fillId="6" borderId="13" xfId="0" applyFont="1" applyFill="1" applyBorder="1" applyAlignment="1">
      <alignment horizontal="left" vertical="center"/>
    </xf>
    <xf numFmtId="0" fontId="11" fillId="2" borderId="16" xfId="0" applyFont="1" applyFill="1" applyBorder="1" applyAlignment="1">
      <alignment horizontal="left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165" fontId="11" fillId="2" borderId="11" xfId="0" applyNumberFormat="1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165" fontId="11" fillId="6" borderId="0" xfId="0" applyNumberFormat="1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165" fontId="11" fillId="2" borderId="0" xfId="0" applyNumberFormat="1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165" fontId="11" fillId="6" borderId="16" xfId="0" applyNumberFormat="1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165" fontId="11" fillId="6" borderId="11" xfId="0" applyNumberFormat="1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165" fontId="23" fillId="6" borderId="0" xfId="0" applyNumberFormat="1" applyFont="1" applyFill="1" applyBorder="1" applyAlignment="1">
      <alignment horizontal="center" vertical="center"/>
    </xf>
    <xf numFmtId="165" fontId="23" fillId="2" borderId="0" xfId="0" applyNumberFormat="1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165" fontId="11" fillId="2" borderId="16" xfId="0" applyNumberFormat="1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165" fontId="0" fillId="7" borderId="19" xfId="0" applyNumberForma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165" fontId="21" fillId="2" borderId="0" xfId="0" applyNumberFormat="1" applyFont="1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7" xfId="0" applyFont="1" applyFill="1" applyBorder="1" applyAlignment="1">
      <alignment horizontal="center" vertical="center"/>
    </xf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16</xdr:row>
      <xdr:rowOff>136800</xdr:rowOff>
    </xdr:from>
    <xdr:to>
      <xdr:col>3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8"/>
  <sheetViews>
    <sheetView workbookViewId="0">
      <selection activeCell="C36" sqref="C36"/>
    </sheetView>
  </sheetViews>
  <sheetFormatPr baseColWidth="10" defaultColWidth="11" defaultRowHeight="16" x14ac:dyDescent="0.2"/>
  <cols>
    <col min="1" max="1" width="2" style="2" bestFit="1" customWidth="1"/>
    <col min="2" max="2" width="23.5" style="2" customWidth="1"/>
    <col min="3" max="3" width="27" style="2" customWidth="1"/>
    <col min="4" max="16384" width="11" style="2"/>
  </cols>
  <sheetData>
    <row r="4" spans="1:9" x14ac:dyDescent="0.2">
      <c r="A4" s="7"/>
      <c r="B4" s="2" t="s">
        <v>162</v>
      </c>
    </row>
    <row r="5" spans="1:9" x14ac:dyDescent="0.2">
      <c r="A5" s="7"/>
    </row>
    <row r="6" spans="1:9" x14ac:dyDescent="0.2">
      <c r="A6" s="7"/>
    </row>
    <row r="7" spans="1:9" x14ac:dyDescent="0.2">
      <c r="A7" s="70" t="s">
        <v>165</v>
      </c>
      <c r="B7" s="70"/>
      <c r="C7" s="70"/>
      <c r="D7" s="70"/>
      <c r="E7" s="70"/>
      <c r="F7" s="70"/>
      <c r="G7" s="70"/>
      <c r="H7" s="70"/>
      <c r="I7" s="70"/>
    </row>
    <row r="8" spans="1:9" x14ac:dyDescent="0.2">
      <c r="A8" s="70"/>
      <c r="B8" s="70"/>
      <c r="C8" s="70"/>
      <c r="D8" s="70"/>
      <c r="E8" s="70"/>
      <c r="F8" s="70"/>
      <c r="G8" s="70"/>
      <c r="H8" s="70"/>
      <c r="I8" s="70"/>
    </row>
    <row r="9" spans="1:9" x14ac:dyDescent="0.2">
      <c r="A9" s="7"/>
      <c r="E9" s="20"/>
      <c r="F9" s="10"/>
    </row>
    <row r="12" spans="1:9" x14ac:dyDescent="0.2">
      <c r="C12" s="16"/>
    </row>
    <row r="13" spans="1:9" x14ac:dyDescent="0.2">
      <c r="B13" s="17"/>
      <c r="C13" s="19" t="s">
        <v>10</v>
      </c>
    </row>
    <row r="14" spans="1:9" x14ac:dyDescent="0.2">
      <c r="B14" s="7" t="s">
        <v>7</v>
      </c>
      <c r="C14" s="14">
        <f>+'Timesheet '!K42</f>
        <v>44012.699000000001</v>
      </c>
    </row>
    <row r="15" spans="1:9" x14ac:dyDescent="0.2">
      <c r="B15" s="7" t="s">
        <v>56</v>
      </c>
      <c r="C15" s="14">
        <f>+'Timesheet '!I42+'Timesheet '!H42</f>
        <v>1721.9610000000002</v>
      </c>
    </row>
    <row r="16" spans="1:9" x14ac:dyDescent="0.2">
      <c r="B16" s="7" t="s">
        <v>9</v>
      </c>
      <c r="C16" s="14">
        <f>'Holiday notes '!F16</f>
        <v>5074.08</v>
      </c>
    </row>
    <row r="17" spans="2:6" ht="17" thickBot="1" x14ac:dyDescent="0.25">
      <c r="B17" s="15" t="s">
        <v>11</v>
      </c>
      <c r="C17" s="63">
        <f>SUM(C14:C16)</f>
        <v>50808.740000000005</v>
      </c>
    </row>
    <row r="18" spans="2:6" ht="17" thickTop="1" x14ac:dyDescent="0.2">
      <c r="F18" s="66"/>
    </row>
  </sheetData>
  <mergeCells count="1">
    <mergeCell ref="A7:I8"/>
  </mergeCells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F329-354C-D44E-9E86-67584192A410}">
  <dimension ref="B2:L42"/>
  <sheetViews>
    <sheetView topLeftCell="A5" zoomScale="110" zoomScaleNormal="110" workbookViewId="0">
      <selection activeCell="E23" sqref="E23"/>
    </sheetView>
  </sheetViews>
  <sheetFormatPr baseColWidth="10" defaultRowHeight="16" x14ac:dyDescent="0.2"/>
  <cols>
    <col min="1" max="1" width="7.1640625" style="2" customWidth="1"/>
    <col min="2" max="3" width="11" style="2" bestFit="1" customWidth="1"/>
    <col min="4" max="4" width="9.33203125" style="2" bestFit="1" customWidth="1"/>
    <col min="5" max="5" width="12.6640625" style="2" bestFit="1" customWidth="1"/>
    <col min="6" max="6" width="7.33203125" style="2" bestFit="1" customWidth="1"/>
    <col min="7" max="7" width="6.6640625" style="2" bestFit="1" customWidth="1"/>
    <col min="8" max="8" width="10.33203125" style="2" bestFit="1" customWidth="1"/>
    <col min="9" max="9" width="9" style="2" bestFit="1" customWidth="1"/>
    <col min="10" max="10" width="9.6640625" style="2" bestFit="1" customWidth="1"/>
    <col min="11" max="11" width="11.5" style="2" bestFit="1" customWidth="1"/>
    <col min="12" max="12" width="48.83203125" style="2" customWidth="1"/>
    <col min="13" max="16384" width="10.83203125" style="2"/>
  </cols>
  <sheetData>
    <row r="2" spans="2:12" x14ac:dyDescent="0.2">
      <c r="B2" s="82" t="s">
        <v>162</v>
      </c>
    </row>
    <row r="3" spans="2:12" x14ac:dyDescent="0.2">
      <c r="B3" s="82" t="s">
        <v>163</v>
      </c>
      <c r="C3" s="2" t="s">
        <v>164</v>
      </c>
    </row>
    <row r="4" spans="2:12" ht="17" thickBot="1" x14ac:dyDescent="0.25"/>
    <row r="5" spans="2:12" ht="3" customHeight="1" x14ac:dyDescent="0.2">
      <c r="B5" s="73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2:12" ht="29" customHeight="1" thickBot="1" x14ac:dyDescent="0.25">
      <c r="B6" s="132" t="s">
        <v>94</v>
      </c>
      <c r="C6" s="131" t="s">
        <v>156</v>
      </c>
      <c r="D6" s="131" t="s">
        <v>84</v>
      </c>
      <c r="E6" s="131" t="s">
        <v>83</v>
      </c>
      <c r="F6" s="131" t="s">
        <v>85</v>
      </c>
      <c r="G6" s="131" t="s">
        <v>88</v>
      </c>
      <c r="H6" s="131" t="s">
        <v>20</v>
      </c>
      <c r="I6" s="131" t="s">
        <v>89</v>
      </c>
      <c r="J6" s="131" t="s">
        <v>86</v>
      </c>
      <c r="K6" s="131" t="s">
        <v>87</v>
      </c>
      <c r="L6" s="133" t="s">
        <v>157</v>
      </c>
    </row>
    <row r="7" spans="2:12" ht="16" customHeight="1" x14ac:dyDescent="0.2">
      <c r="B7" s="76" t="s">
        <v>122</v>
      </c>
      <c r="C7" s="98"/>
      <c r="D7" s="90" t="s">
        <v>15</v>
      </c>
      <c r="E7" s="90" t="s">
        <v>90</v>
      </c>
      <c r="F7" s="100">
        <v>11</v>
      </c>
      <c r="G7" s="100">
        <v>4</v>
      </c>
      <c r="H7" s="100">
        <v>150</v>
      </c>
      <c r="I7" s="100"/>
      <c r="J7" s="99">
        <v>136.94999999999999</v>
      </c>
      <c r="K7" s="100">
        <f>+F7*J7+(G7*J7)+H7</f>
        <v>2204.25</v>
      </c>
      <c r="L7" s="101"/>
    </row>
    <row r="8" spans="2:12" x14ac:dyDescent="0.2">
      <c r="B8" s="78"/>
      <c r="C8" s="102"/>
      <c r="D8" s="91" t="s">
        <v>91</v>
      </c>
      <c r="E8" s="91" t="s">
        <v>95</v>
      </c>
      <c r="F8" s="104">
        <v>10.5</v>
      </c>
      <c r="G8" s="104">
        <v>2.5</v>
      </c>
      <c r="H8" s="104">
        <v>100</v>
      </c>
      <c r="I8" s="104"/>
      <c r="J8" s="103">
        <v>155.09</v>
      </c>
      <c r="K8" s="104">
        <f t="shared" ref="K8:K41" si="0">+F8*J8+(G8*J8)+H8</f>
        <v>2116.17</v>
      </c>
      <c r="L8" s="105"/>
    </row>
    <row r="9" spans="2:12" x14ac:dyDescent="0.2">
      <c r="B9" s="78"/>
      <c r="C9" s="102"/>
      <c r="D9" s="92" t="s">
        <v>52</v>
      </c>
      <c r="E9" s="92" t="s">
        <v>53</v>
      </c>
      <c r="F9" s="107">
        <v>10</v>
      </c>
      <c r="G9" s="107">
        <v>1</v>
      </c>
      <c r="H9" s="107"/>
      <c r="I9" s="107"/>
      <c r="J9" s="106">
        <v>130.03</v>
      </c>
      <c r="K9" s="107">
        <f t="shared" si="0"/>
        <v>1430.33</v>
      </c>
      <c r="L9" s="108"/>
    </row>
    <row r="10" spans="2:12" x14ac:dyDescent="0.2">
      <c r="B10" s="78"/>
      <c r="C10" s="102"/>
      <c r="D10" s="91" t="s">
        <v>77</v>
      </c>
      <c r="E10" s="91" t="s">
        <v>80</v>
      </c>
      <c r="F10" s="104">
        <v>10.199999999999999</v>
      </c>
      <c r="G10" s="104">
        <v>0.5</v>
      </c>
      <c r="H10" s="104"/>
      <c r="I10" s="104"/>
      <c r="J10" s="103">
        <v>99.97</v>
      </c>
      <c r="K10" s="104">
        <f t="shared" si="0"/>
        <v>1069.6789999999999</v>
      </c>
      <c r="L10" s="105"/>
    </row>
    <row r="11" spans="2:12" x14ac:dyDescent="0.2">
      <c r="B11" s="78"/>
      <c r="C11" s="102" t="s">
        <v>124</v>
      </c>
      <c r="D11" s="92" t="s">
        <v>92</v>
      </c>
      <c r="E11" s="92" t="s">
        <v>98</v>
      </c>
      <c r="F11" s="107">
        <v>9.5</v>
      </c>
      <c r="G11" s="107">
        <v>0.5</v>
      </c>
      <c r="H11" s="107"/>
      <c r="I11" s="107"/>
      <c r="J11" s="106">
        <v>69.16</v>
      </c>
      <c r="K11" s="107">
        <f t="shared" si="0"/>
        <v>691.6</v>
      </c>
      <c r="L11" s="108"/>
    </row>
    <row r="12" spans="2:12" x14ac:dyDescent="0.2">
      <c r="B12" s="78"/>
      <c r="C12" s="102" t="s">
        <v>74</v>
      </c>
      <c r="D12" s="91" t="s">
        <v>159</v>
      </c>
      <c r="E12" s="91" t="s">
        <v>97</v>
      </c>
      <c r="F12" s="104">
        <v>9</v>
      </c>
      <c r="G12" s="104">
        <v>0.5</v>
      </c>
      <c r="H12" s="104"/>
      <c r="I12" s="104"/>
      <c r="J12" s="103">
        <v>3.72</v>
      </c>
      <c r="K12" s="104">
        <f t="shared" si="0"/>
        <v>35.340000000000003</v>
      </c>
      <c r="L12" s="105"/>
    </row>
    <row r="13" spans="2:12" x14ac:dyDescent="0.2">
      <c r="B13" s="78"/>
      <c r="C13" s="124" t="s">
        <v>160</v>
      </c>
      <c r="D13" s="92" t="s">
        <v>93</v>
      </c>
      <c r="E13" s="92" t="s">
        <v>96</v>
      </c>
      <c r="F13" s="107">
        <v>9.5</v>
      </c>
      <c r="G13" s="107">
        <v>0.5</v>
      </c>
      <c r="H13" s="107"/>
      <c r="I13" s="107"/>
      <c r="J13" s="106">
        <v>0</v>
      </c>
      <c r="K13" s="107">
        <f t="shared" si="0"/>
        <v>0</v>
      </c>
      <c r="L13" s="108"/>
    </row>
    <row r="14" spans="2:12" x14ac:dyDescent="0.2">
      <c r="B14" s="78"/>
      <c r="C14" s="102"/>
      <c r="D14" s="91" t="s">
        <v>70</v>
      </c>
      <c r="E14" s="91" t="s">
        <v>103</v>
      </c>
      <c r="F14" s="104">
        <v>11</v>
      </c>
      <c r="G14" s="104">
        <v>3</v>
      </c>
      <c r="H14" s="104">
        <v>140</v>
      </c>
      <c r="I14" s="104"/>
      <c r="J14" s="103">
        <f>185.89+35</f>
        <v>220.89</v>
      </c>
      <c r="K14" s="104">
        <f t="shared" si="0"/>
        <v>3232.46</v>
      </c>
      <c r="L14" s="105"/>
    </row>
    <row r="15" spans="2:12" x14ac:dyDescent="0.2">
      <c r="B15" s="78"/>
      <c r="C15" s="102"/>
      <c r="D15" s="92" t="s">
        <v>57</v>
      </c>
      <c r="E15" s="92" t="s">
        <v>58</v>
      </c>
      <c r="F15" s="107">
        <v>10.42</v>
      </c>
      <c r="G15" s="107">
        <v>1</v>
      </c>
      <c r="H15" s="128">
        <f>(129.55-80)*F15+(G15*129)</f>
        <v>645.31100000000015</v>
      </c>
      <c r="I15" s="107"/>
      <c r="J15" s="106">
        <v>80</v>
      </c>
      <c r="K15" s="107">
        <f t="shared" si="0"/>
        <v>1558.9110000000001</v>
      </c>
      <c r="L15" s="108"/>
    </row>
    <row r="16" spans="2:12" x14ac:dyDescent="0.2">
      <c r="B16" s="78"/>
      <c r="C16" s="102"/>
      <c r="D16" s="91" t="s">
        <v>51</v>
      </c>
      <c r="E16" s="91" t="s">
        <v>107</v>
      </c>
      <c r="F16" s="104">
        <v>10.5</v>
      </c>
      <c r="G16" s="104">
        <v>1</v>
      </c>
      <c r="H16" s="104">
        <v>50</v>
      </c>
      <c r="I16" s="104"/>
      <c r="J16" s="103">
        <v>126.33</v>
      </c>
      <c r="K16" s="104">
        <f t="shared" si="0"/>
        <v>1502.7949999999998</v>
      </c>
      <c r="L16" s="105"/>
    </row>
    <row r="17" spans="2:12" x14ac:dyDescent="0.2">
      <c r="B17" s="78"/>
      <c r="C17" s="102" t="s">
        <v>74</v>
      </c>
      <c r="D17" s="92" t="s">
        <v>104</v>
      </c>
      <c r="E17" s="92" t="s">
        <v>108</v>
      </c>
      <c r="F17" s="107">
        <v>9.5</v>
      </c>
      <c r="G17" s="107">
        <v>0.5</v>
      </c>
      <c r="H17" s="107"/>
      <c r="I17" s="107"/>
      <c r="J17" s="106">
        <v>76.819999999999993</v>
      </c>
      <c r="K17" s="107">
        <f t="shared" si="0"/>
        <v>768.19999999999993</v>
      </c>
      <c r="L17" s="108"/>
    </row>
    <row r="18" spans="2:12" x14ac:dyDescent="0.2">
      <c r="B18" s="78"/>
      <c r="C18" s="102" t="s">
        <v>74</v>
      </c>
      <c r="D18" s="91" t="s">
        <v>105</v>
      </c>
      <c r="E18" s="91" t="s">
        <v>109</v>
      </c>
      <c r="F18" s="104">
        <v>9.5</v>
      </c>
      <c r="G18" s="104">
        <v>0.5</v>
      </c>
      <c r="H18" s="104"/>
      <c r="I18" s="104"/>
      <c r="J18" s="103">
        <v>47.9</v>
      </c>
      <c r="K18" s="104">
        <f t="shared" si="0"/>
        <v>479</v>
      </c>
      <c r="L18" s="105"/>
    </row>
    <row r="19" spans="2:12" x14ac:dyDescent="0.2">
      <c r="B19" s="78"/>
      <c r="C19" s="102" t="s">
        <v>74</v>
      </c>
      <c r="D19" s="92" t="s">
        <v>106</v>
      </c>
      <c r="E19" s="92" t="s">
        <v>110</v>
      </c>
      <c r="F19" s="107">
        <v>9.5</v>
      </c>
      <c r="G19" s="107">
        <v>0.5</v>
      </c>
      <c r="H19" s="107"/>
      <c r="I19" s="107"/>
      <c r="J19" s="106">
        <v>6.27</v>
      </c>
      <c r="K19" s="107">
        <f t="shared" si="0"/>
        <v>62.699999999999996</v>
      </c>
      <c r="L19" s="108"/>
    </row>
    <row r="20" spans="2:12" x14ac:dyDescent="0.2">
      <c r="B20" s="78"/>
      <c r="C20" s="102"/>
      <c r="D20" s="91" t="s">
        <v>111</v>
      </c>
      <c r="E20" s="91" t="s">
        <v>78</v>
      </c>
      <c r="F20" s="104">
        <v>9</v>
      </c>
      <c r="G20" s="104">
        <v>0.5</v>
      </c>
      <c r="H20" s="104"/>
      <c r="I20" s="104"/>
      <c r="J20" s="103">
        <v>87.09</v>
      </c>
      <c r="K20" s="104">
        <f t="shared" si="0"/>
        <v>827.35500000000002</v>
      </c>
      <c r="L20" s="105"/>
    </row>
    <row r="21" spans="2:12" x14ac:dyDescent="0.2">
      <c r="B21" s="83"/>
      <c r="C21" s="125" t="s">
        <v>65</v>
      </c>
      <c r="D21" s="92" t="s">
        <v>18</v>
      </c>
      <c r="E21" s="92" t="s">
        <v>19</v>
      </c>
      <c r="F21" s="107">
        <v>10</v>
      </c>
      <c r="G21" s="107">
        <v>1</v>
      </c>
      <c r="H21" s="107"/>
      <c r="I21" s="107"/>
      <c r="J21" s="106">
        <f>56+23</f>
        <v>79</v>
      </c>
      <c r="K21" s="107">
        <f t="shared" si="0"/>
        <v>869</v>
      </c>
      <c r="L21" s="108"/>
    </row>
    <row r="22" spans="2:12" ht="17" thickBot="1" x14ac:dyDescent="0.25">
      <c r="B22" s="80"/>
      <c r="C22" s="126" t="s">
        <v>65</v>
      </c>
      <c r="D22" s="93" t="s">
        <v>76</v>
      </c>
      <c r="E22" s="93" t="s">
        <v>79</v>
      </c>
      <c r="F22" s="110">
        <v>9.5</v>
      </c>
      <c r="G22" s="110">
        <v>0.5</v>
      </c>
      <c r="H22" s="110"/>
      <c r="I22" s="110"/>
      <c r="J22" s="109">
        <v>74.569999999999993</v>
      </c>
      <c r="K22" s="110">
        <f t="shared" si="0"/>
        <v>745.69999999999993</v>
      </c>
      <c r="L22" s="111"/>
    </row>
    <row r="23" spans="2:12" x14ac:dyDescent="0.2">
      <c r="B23" s="76" t="s">
        <v>112</v>
      </c>
      <c r="C23" s="77"/>
      <c r="D23" s="94" t="s">
        <v>49</v>
      </c>
      <c r="E23" s="95" t="s">
        <v>50</v>
      </c>
      <c r="F23" s="113">
        <v>12.5</v>
      </c>
      <c r="G23" s="113">
        <v>1</v>
      </c>
      <c r="H23" s="113">
        <v>100</v>
      </c>
      <c r="I23" s="113"/>
      <c r="J23" s="112">
        <v>124.94</v>
      </c>
      <c r="K23" s="113">
        <f t="shared" si="0"/>
        <v>1786.69</v>
      </c>
      <c r="L23" s="114"/>
    </row>
    <row r="24" spans="2:12" x14ac:dyDescent="0.2">
      <c r="B24" s="78"/>
      <c r="C24" s="79"/>
      <c r="D24" s="84" t="s">
        <v>72</v>
      </c>
      <c r="E24" s="92" t="s">
        <v>47</v>
      </c>
      <c r="F24" s="107">
        <v>11.7</v>
      </c>
      <c r="G24" s="107">
        <v>2</v>
      </c>
      <c r="H24" s="107">
        <v>100</v>
      </c>
      <c r="I24" s="107"/>
      <c r="J24" s="106">
        <v>190.69</v>
      </c>
      <c r="K24" s="107">
        <f t="shared" si="0"/>
        <v>2712.453</v>
      </c>
      <c r="L24" s="108"/>
    </row>
    <row r="25" spans="2:12" x14ac:dyDescent="0.2">
      <c r="B25" s="78"/>
      <c r="C25" s="79"/>
      <c r="D25" s="96" t="s">
        <v>71</v>
      </c>
      <c r="E25" s="91" t="s">
        <v>100</v>
      </c>
      <c r="F25" s="104">
        <v>11</v>
      </c>
      <c r="G25" s="104">
        <v>3</v>
      </c>
      <c r="H25" s="115">
        <v>50</v>
      </c>
      <c r="I25" s="104"/>
      <c r="J25" s="103">
        <v>80</v>
      </c>
      <c r="K25" s="104">
        <f t="shared" si="0"/>
        <v>1170</v>
      </c>
      <c r="L25" s="105"/>
    </row>
    <row r="26" spans="2:12" x14ac:dyDescent="0.2">
      <c r="B26" s="78"/>
      <c r="C26" s="79"/>
      <c r="D26" s="84" t="s">
        <v>61</v>
      </c>
      <c r="E26" s="92" t="s">
        <v>62</v>
      </c>
      <c r="F26" s="107">
        <v>11</v>
      </c>
      <c r="G26" s="107">
        <v>2</v>
      </c>
      <c r="H26" s="107">
        <v>100</v>
      </c>
      <c r="I26" s="107"/>
      <c r="J26" s="106">
        <v>199.27</v>
      </c>
      <c r="K26" s="107">
        <f t="shared" si="0"/>
        <v>2690.51</v>
      </c>
      <c r="L26" s="108"/>
    </row>
    <row r="27" spans="2:12" x14ac:dyDescent="0.2">
      <c r="B27" s="78"/>
      <c r="C27" s="79"/>
      <c r="D27" s="96" t="s">
        <v>54</v>
      </c>
      <c r="E27" s="91" t="s">
        <v>55</v>
      </c>
      <c r="F27" s="104">
        <v>11.4</v>
      </c>
      <c r="G27" s="104">
        <v>1.5</v>
      </c>
      <c r="H27" s="104"/>
      <c r="I27" s="104"/>
      <c r="J27" s="103">
        <v>82.43</v>
      </c>
      <c r="K27" s="104">
        <f t="shared" si="0"/>
        <v>1063.3470000000002</v>
      </c>
      <c r="L27" s="105"/>
    </row>
    <row r="28" spans="2:12" x14ac:dyDescent="0.2">
      <c r="B28" s="78"/>
      <c r="C28" s="79"/>
      <c r="D28" s="84" t="s">
        <v>113</v>
      </c>
      <c r="E28" s="92" t="s">
        <v>45</v>
      </c>
      <c r="F28" s="107">
        <v>11</v>
      </c>
      <c r="G28" s="107">
        <v>2</v>
      </c>
      <c r="H28" s="107"/>
      <c r="I28" s="107"/>
      <c r="J28" s="106">
        <v>74.63</v>
      </c>
      <c r="K28" s="107">
        <f t="shared" si="0"/>
        <v>970.18999999999994</v>
      </c>
      <c r="L28" s="108"/>
    </row>
    <row r="29" spans="2:12" x14ac:dyDescent="0.2">
      <c r="B29" s="78"/>
      <c r="C29" s="79"/>
      <c r="D29" s="96" t="s">
        <v>46</v>
      </c>
      <c r="E29" s="91" t="s">
        <v>118</v>
      </c>
      <c r="F29" s="104">
        <v>10.4</v>
      </c>
      <c r="G29" s="104">
        <v>2</v>
      </c>
      <c r="H29" s="104"/>
      <c r="I29" s="104"/>
      <c r="J29" s="103">
        <v>84.02</v>
      </c>
      <c r="K29" s="104">
        <f t="shared" si="0"/>
        <v>1041.848</v>
      </c>
      <c r="L29" s="105"/>
    </row>
    <row r="30" spans="2:12" x14ac:dyDescent="0.2">
      <c r="B30" s="78"/>
      <c r="C30" s="79" t="s">
        <v>74</v>
      </c>
      <c r="D30" s="84" t="s">
        <v>161</v>
      </c>
      <c r="E30" s="92" t="s">
        <v>100</v>
      </c>
      <c r="F30" s="107">
        <v>11.5</v>
      </c>
      <c r="G30" s="116">
        <v>1.5</v>
      </c>
      <c r="H30" s="107"/>
      <c r="I30" s="107"/>
      <c r="J30" s="106">
        <v>168.77</v>
      </c>
      <c r="K30" s="107">
        <f t="shared" si="0"/>
        <v>2194.0100000000002</v>
      </c>
      <c r="L30" s="108"/>
    </row>
    <row r="31" spans="2:12" x14ac:dyDescent="0.2">
      <c r="B31" s="78"/>
      <c r="C31" s="79"/>
      <c r="D31" s="96" t="s">
        <v>114</v>
      </c>
      <c r="E31" s="91" t="s">
        <v>48</v>
      </c>
      <c r="F31" s="104">
        <v>12</v>
      </c>
      <c r="G31" s="104"/>
      <c r="H31" s="104">
        <v>50</v>
      </c>
      <c r="I31" s="104"/>
      <c r="J31" s="103">
        <v>189.49</v>
      </c>
      <c r="K31" s="104">
        <f t="shared" si="0"/>
        <v>2323.88</v>
      </c>
      <c r="L31" s="105"/>
    </row>
    <row r="32" spans="2:12" x14ac:dyDescent="0.2">
      <c r="B32" s="78"/>
      <c r="C32" s="79"/>
      <c r="D32" s="84" t="s">
        <v>101</v>
      </c>
      <c r="E32" s="92" t="s">
        <v>102</v>
      </c>
      <c r="F32" s="107">
        <v>10</v>
      </c>
      <c r="G32" s="107">
        <v>0.5</v>
      </c>
      <c r="H32" s="107"/>
      <c r="I32" s="107"/>
      <c r="J32" s="106">
        <v>78.62</v>
      </c>
      <c r="K32" s="107">
        <f t="shared" si="0"/>
        <v>825.51</v>
      </c>
      <c r="L32" s="108" t="s">
        <v>158</v>
      </c>
    </row>
    <row r="33" spans="2:12" x14ac:dyDescent="0.2">
      <c r="B33" s="78"/>
      <c r="C33" s="79"/>
      <c r="D33" s="96" t="s">
        <v>66</v>
      </c>
      <c r="E33" s="91" t="s">
        <v>67</v>
      </c>
      <c r="F33" s="104">
        <v>11</v>
      </c>
      <c r="G33" s="104">
        <v>1</v>
      </c>
      <c r="H33" s="104"/>
      <c r="I33" s="104"/>
      <c r="J33" s="103">
        <v>76.7</v>
      </c>
      <c r="K33" s="104">
        <f t="shared" si="0"/>
        <v>920.40000000000009</v>
      </c>
      <c r="L33" s="105"/>
    </row>
    <row r="34" spans="2:12" x14ac:dyDescent="0.2">
      <c r="B34" s="78"/>
      <c r="C34" s="79" t="s">
        <v>74</v>
      </c>
      <c r="D34" s="84" t="s">
        <v>115</v>
      </c>
      <c r="E34" s="92" t="s">
        <v>119</v>
      </c>
      <c r="F34" s="107">
        <v>10.18</v>
      </c>
      <c r="G34" s="107">
        <v>0.5</v>
      </c>
      <c r="H34" s="107"/>
      <c r="I34" s="107"/>
      <c r="J34" s="106">
        <v>45</v>
      </c>
      <c r="K34" s="107">
        <f t="shared" si="0"/>
        <v>480.59999999999997</v>
      </c>
      <c r="L34" s="108"/>
    </row>
    <row r="35" spans="2:12" x14ac:dyDescent="0.2">
      <c r="B35" s="78"/>
      <c r="C35" s="79"/>
      <c r="D35" s="96" t="s">
        <v>75</v>
      </c>
      <c r="E35" s="91" t="s">
        <v>120</v>
      </c>
      <c r="F35" s="104">
        <v>9.5</v>
      </c>
      <c r="G35" s="104">
        <v>0.5</v>
      </c>
      <c r="H35" s="104"/>
      <c r="I35" s="104"/>
      <c r="J35" s="103">
        <v>71.760000000000005</v>
      </c>
      <c r="K35" s="104">
        <f t="shared" si="0"/>
        <v>717.6</v>
      </c>
      <c r="L35" s="105"/>
    </row>
    <row r="36" spans="2:12" ht="17" thickBot="1" x14ac:dyDescent="0.25">
      <c r="B36" s="80"/>
      <c r="C36" s="127" t="s">
        <v>65</v>
      </c>
      <c r="D36" s="85" t="s">
        <v>68</v>
      </c>
      <c r="E36" s="97" t="s">
        <v>69</v>
      </c>
      <c r="F36" s="118">
        <v>10.42</v>
      </c>
      <c r="G36" s="118">
        <v>2</v>
      </c>
      <c r="H36" s="118"/>
      <c r="I36" s="118"/>
      <c r="J36" s="117">
        <v>34.619999999999997</v>
      </c>
      <c r="K36" s="118">
        <f t="shared" si="0"/>
        <v>429.98039999999997</v>
      </c>
      <c r="L36" s="119"/>
    </row>
    <row r="37" spans="2:12" x14ac:dyDescent="0.2">
      <c r="B37" s="76" t="s">
        <v>116</v>
      </c>
      <c r="C37" s="77"/>
      <c r="D37" s="96" t="s">
        <v>81</v>
      </c>
      <c r="E37" s="91" t="s">
        <v>14</v>
      </c>
      <c r="F37" s="104">
        <v>11</v>
      </c>
      <c r="G37" s="104"/>
      <c r="H37" s="104"/>
      <c r="I37" s="104">
        <f>+'Dumpling Bonus '!J8</f>
        <v>56.650000000000006</v>
      </c>
      <c r="J37" s="103">
        <f>+'Dumpling Bonus '!L8</f>
        <v>50</v>
      </c>
      <c r="K37" s="104">
        <f t="shared" si="0"/>
        <v>550</v>
      </c>
      <c r="L37" s="105"/>
    </row>
    <row r="38" spans="2:12" x14ac:dyDescent="0.2">
      <c r="B38" s="78"/>
      <c r="C38" s="79"/>
      <c r="D38" s="84" t="s">
        <v>36</v>
      </c>
      <c r="E38" s="92" t="s">
        <v>121</v>
      </c>
      <c r="F38" s="107">
        <v>11</v>
      </c>
      <c r="G38" s="107"/>
      <c r="H38" s="107"/>
      <c r="I38" s="107">
        <v>80</v>
      </c>
      <c r="J38" s="106">
        <v>209.09</v>
      </c>
      <c r="K38" s="107">
        <f>+F38*J38+(G38*J38)+H38+I38</f>
        <v>2379.9900000000002</v>
      </c>
      <c r="L38" s="108"/>
    </row>
    <row r="39" spans="2:12" x14ac:dyDescent="0.2">
      <c r="B39" s="78"/>
      <c r="C39" s="79"/>
      <c r="D39" s="96" t="s">
        <v>38</v>
      </c>
      <c r="E39" s="91" t="s">
        <v>39</v>
      </c>
      <c r="F39" s="104">
        <v>11</v>
      </c>
      <c r="G39" s="104"/>
      <c r="H39" s="104"/>
      <c r="I39" s="104">
        <v>100</v>
      </c>
      <c r="J39" s="103">
        <v>239.62</v>
      </c>
      <c r="K39" s="104">
        <f t="shared" si="0"/>
        <v>2635.82</v>
      </c>
      <c r="L39" s="105"/>
    </row>
    <row r="40" spans="2:12" x14ac:dyDescent="0.2">
      <c r="B40" s="78"/>
      <c r="C40" s="79"/>
      <c r="D40" s="84" t="s">
        <v>117</v>
      </c>
      <c r="E40" s="92" t="s">
        <v>16</v>
      </c>
      <c r="F40" s="107">
        <v>10.42</v>
      </c>
      <c r="G40" s="107"/>
      <c r="H40" s="107"/>
      <c r="I40" s="107"/>
      <c r="J40" s="106">
        <v>15.43</v>
      </c>
      <c r="K40" s="107">
        <f t="shared" si="0"/>
        <v>160.78059999999999</v>
      </c>
      <c r="L40" s="108"/>
    </row>
    <row r="41" spans="2:12" ht="17" thickBot="1" x14ac:dyDescent="0.25">
      <c r="B41" s="80"/>
      <c r="C41" s="81"/>
      <c r="D41" s="96" t="s">
        <v>21</v>
      </c>
      <c r="E41" s="91" t="s">
        <v>21</v>
      </c>
      <c r="F41" s="104">
        <v>11</v>
      </c>
      <c r="G41" s="104">
        <v>1</v>
      </c>
      <c r="H41" s="104"/>
      <c r="I41" s="104"/>
      <c r="J41" s="103">
        <f>+'Dumpling Bonus '!L7</f>
        <v>113.80000000000001</v>
      </c>
      <c r="K41" s="104">
        <f t="shared" si="0"/>
        <v>1365.6000000000001</v>
      </c>
      <c r="L41" s="105"/>
    </row>
    <row r="42" spans="2:12" ht="26" customHeight="1" thickBot="1" x14ac:dyDescent="0.25">
      <c r="B42" s="129" t="s">
        <v>123</v>
      </c>
      <c r="C42" s="130"/>
      <c r="D42" s="120"/>
      <c r="E42" s="121"/>
      <c r="F42" s="122"/>
      <c r="G42" s="121"/>
      <c r="H42" s="122">
        <f>+SUM(H7:H41)</f>
        <v>1485.3110000000001</v>
      </c>
      <c r="I42" s="121">
        <f>+SUM(I7:I41)</f>
        <v>236.65</v>
      </c>
      <c r="J42" s="121">
        <f>+SUM(J7:J41)</f>
        <v>3522.6699999999996</v>
      </c>
      <c r="K42" s="122">
        <f>+SUM(K7:K41)</f>
        <v>44012.699000000001</v>
      </c>
      <c r="L42" s="123"/>
    </row>
  </sheetData>
  <mergeCells count="4">
    <mergeCell ref="B7:B22"/>
    <mergeCell ref="B23:B36"/>
    <mergeCell ref="B37:B41"/>
    <mergeCell ref="B42:C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8"/>
  <sheetViews>
    <sheetView workbookViewId="0">
      <selection activeCell="D39" sqref="D39"/>
    </sheetView>
  </sheetViews>
  <sheetFormatPr baseColWidth="10" defaultColWidth="8.83203125" defaultRowHeight="16" x14ac:dyDescent="0.2"/>
  <cols>
    <col min="1" max="1" width="18.1640625" style="2" customWidth="1"/>
    <col min="2" max="2" width="15.5" style="2" bestFit="1" customWidth="1"/>
    <col min="3" max="3" width="22.6640625" style="2" bestFit="1" customWidth="1"/>
    <col min="4" max="4" width="13.5" style="2" bestFit="1" customWidth="1"/>
    <col min="5" max="5" width="11.5" style="2" bestFit="1" customWidth="1"/>
    <col min="6" max="6" width="11.33203125" style="2" customWidth="1"/>
    <col min="7" max="7" width="13.33203125" style="2" bestFit="1" customWidth="1"/>
    <col min="8" max="255" width="11" style="2" customWidth="1"/>
    <col min="256" max="16384" width="8.83203125" style="2"/>
  </cols>
  <sheetData>
    <row r="1" spans="1:7" x14ac:dyDescent="0.2">
      <c r="C1" s="2" t="str">
        <f>+'Summary '!A7</f>
        <v>S</v>
      </c>
    </row>
    <row r="3" spans="1:7" x14ac:dyDescent="0.2">
      <c r="A3" s="71" t="s">
        <v>5</v>
      </c>
      <c r="B3" s="71"/>
      <c r="C3" s="71"/>
      <c r="D3" s="71"/>
      <c r="E3" s="71"/>
      <c r="F3" s="71"/>
      <c r="G3" s="71"/>
    </row>
    <row r="4" spans="1:7" ht="24" x14ac:dyDescent="0.3">
      <c r="A4" s="72"/>
      <c r="B4" s="72"/>
      <c r="C4" s="72"/>
      <c r="D4" s="72"/>
      <c r="E4" s="72"/>
      <c r="F4" s="72"/>
      <c r="G4" s="72"/>
    </row>
    <row r="5" spans="1:7" x14ac:dyDescent="0.2">
      <c r="A5" s="62" t="s">
        <v>0</v>
      </c>
      <c r="B5" s="62" t="s">
        <v>1</v>
      </c>
      <c r="C5" s="62" t="s">
        <v>2</v>
      </c>
      <c r="D5" s="62" t="s">
        <v>3</v>
      </c>
      <c r="E5" s="62" t="s">
        <v>4</v>
      </c>
      <c r="F5" s="62" t="s">
        <v>6</v>
      </c>
      <c r="G5" s="62" t="s">
        <v>43</v>
      </c>
    </row>
    <row r="6" spans="1:7" x14ac:dyDescent="0.2">
      <c r="A6" s="18" t="s">
        <v>18</v>
      </c>
      <c r="B6" s="8"/>
      <c r="C6" s="8"/>
      <c r="D6" s="59">
        <v>10</v>
      </c>
      <c r="E6" s="67">
        <f>20*8</f>
        <v>160</v>
      </c>
      <c r="F6" s="60">
        <f>+D6*E6</f>
        <v>1600</v>
      </c>
      <c r="G6" s="68" t="s">
        <v>73</v>
      </c>
    </row>
    <row r="7" spans="1:7" x14ac:dyDescent="0.2">
      <c r="A7" s="18" t="s">
        <v>22</v>
      </c>
      <c r="B7" s="8"/>
      <c r="C7" s="8"/>
      <c r="D7" s="59">
        <v>11</v>
      </c>
      <c r="E7" s="67">
        <f>7*8</f>
        <v>56</v>
      </c>
      <c r="F7" s="60">
        <f t="shared" ref="F7:F15" si="0">+D7*E7</f>
        <v>616</v>
      </c>
      <c r="G7" s="68"/>
    </row>
    <row r="8" spans="1:7" x14ac:dyDescent="0.2">
      <c r="A8" s="18" t="s">
        <v>99</v>
      </c>
      <c r="B8" s="8"/>
      <c r="C8" s="8"/>
      <c r="D8" s="59">
        <v>11</v>
      </c>
      <c r="E8" s="67">
        <f>5*8</f>
        <v>40</v>
      </c>
      <c r="F8" s="60">
        <v>672</v>
      </c>
      <c r="G8" s="68"/>
    </row>
    <row r="9" spans="1:7" x14ac:dyDescent="0.2">
      <c r="A9" s="18" t="s">
        <v>15</v>
      </c>
      <c r="B9" s="8"/>
      <c r="C9" s="8"/>
      <c r="D9" s="59">
        <v>11</v>
      </c>
      <c r="E9" s="67">
        <f>7*8</f>
        <v>56</v>
      </c>
      <c r="F9" s="60">
        <f t="shared" si="0"/>
        <v>616</v>
      </c>
      <c r="G9" s="68"/>
    </row>
    <row r="10" spans="1:7" x14ac:dyDescent="0.2">
      <c r="A10" s="18" t="s">
        <v>114</v>
      </c>
      <c r="B10" s="8"/>
      <c r="C10" s="8"/>
      <c r="D10" s="59">
        <v>11</v>
      </c>
      <c r="E10" s="67">
        <f>15*8</f>
        <v>120</v>
      </c>
      <c r="F10" s="60">
        <f t="shared" si="0"/>
        <v>1320</v>
      </c>
      <c r="G10" s="68"/>
    </row>
    <row r="11" spans="1:7" ht="15" customHeight="1" x14ac:dyDescent="0.2">
      <c r="A11" s="18" t="s">
        <v>68</v>
      </c>
      <c r="B11" s="8"/>
      <c r="C11" s="8"/>
      <c r="D11" s="59">
        <v>10.42</v>
      </c>
      <c r="E11" s="67">
        <f>3*8</f>
        <v>24</v>
      </c>
      <c r="F11" s="60">
        <f t="shared" si="0"/>
        <v>250.07999999999998</v>
      </c>
      <c r="G11" s="68" t="s">
        <v>73</v>
      </c>
    </row>
    <row r="12" spans="1:7" ht="15" customHeight="1" x14ac:dyDescent="0.2">
      <c r="A12" s="18"/>
      <c r="B12" s="8"/>
      <c r="C12" s="8"/>
      <c r="D12" s="59"/>
      <c r="E12" s="67"/>
      <c r="F12" s="60">
        <f t="shared" si="0"/>
        <v>0</v>
      </c>
      <c r="G12" s="68"/>
    </row>
    <row r="13" spans="1:7" ht="15" customHeight="1" x14ac:dyDescent="0.2">
      <c r="A13" s="18"/>
      <c r="B13" s="8"/>
      <c r="C13" s="8"/>
      <c r="D13" s="59"/>
      <c r="E13" s="67"/>
      <c r="F13" s="60">
        <f t="shared" si="0"/>
        <v>0</v>
      </c>
      <c r="G13" s="68"/>
    </row>
    <row r="14" spans="1:7" x14ac:dyDescent="0.2">
      <c r="A14" s="18"/>
      <c r="B14" s="8"/>
      <c r="C14" s="8"/>
      <c r="D14" s="59"/>
      <c r="E14" s="67"/>
      <c r="F14" s="60">
        <f t="shared" si="0"/>
        <v>0</v>
      </c>
      <c r="G14" s="68"/>
    </row>
    <row r="15" spans="1:7" x14ac:dyDescent="0.2">
      <c r="A15" s="18"/>
      <c r="B15" s="8"/>
      <c r="C15" s="8"/>
      <c r="D15" s="59"/>
      <c r="E15" s="67"/>
      <c r="F15" s="60">
        <f t="shared" si="0"/>
        <v>0</v>
      </c>
      <c r="G15" s="69"/>
    </row>
    <row r="16" spans="1:7" ht="17" thickBot="1" x14ac:dyDescent="0.25">
      <c r="A16" s="5" t="s">
        <v>6</v>
      </c>
      <c r="B16" s="6"/>
      <c r="C16" s="6"/>
      <c r="D16" s="6"/>
      <c r="E16" s="6"/>
      <c r="F16" s="65">
        <f>+SUM(F6:F15)</f>
        <v>5074.08</v>
      </c>
      <c r="G16" s="61"/>
    </row>
    <row r="17" spans="1:9" ht="17" thickTop="1" x14ac:dyDescent="0.2">
      <c r="A17" s="11"/>
      <c r="B17" s="9"/>
      <c r="C17" s="9"/>
      <c r="D17" s="9"/>
      <c r="E17" s="9"/>
      <c r="F17" s="12"/>
      <c r="G17" s="3"/>
    </row>
    <row r="18" spans="1:9" x14ac:dyDescent="0.2">
      <c r="A18" s="71"/>
      <c r="B18" s="71"/>
      <c r="C18" s="71"/>
      <c r="D18" s="71"/>
      <c r="E18" s="71"/>
      <c r="F18" s="71"/>
      <c r="G18" s="71"/>
      <c r="H18" s="4"/>
      <c r="I18" s="3"/>
    </row>
  </sheetData>
  <mergeCells count="3">
    <mergeCell ref="A18:G18"/>
    <mergeCell ref="A4:G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K26"/>
  <sheetViews>
    <sheetView tabSelected="1" topLeftCell="A3" zoomScale="120" zoomScaleNormal="120" workbookViewId="0">
      <selection activeCell="C19" sqref="C19"/>
    </sheetView>
  </sheetViews>
  <sheetFormatPr baseColWidth="10" defaultColWidth="9" defaultRowHeight="16" x14ac:dyDescent="0.2"/>
  <cols>
    <col min="1" max="1" width="27.33203125" style="2" bestFit="1" customWidth="1"/>
    <col min="2" max="2" width="48" style="2" bestFit="1" customWidth="1"/>
    <col min="3" max="3" width="10.83203125" style="2" bestFit="1" customWidth="1"/>
    <col min="4" max="4" width="14.83203125" style="2" bestFit="1" customWidth="1"/>
    <col min="5" max="5" width="10.83203125" style="2" bestFit="1" customWidth="1"/>
    <col min="6" max="6" width="12.5" style="2" bestFit="1" customWidth="1"/>
    <col min="7" max="7" width="14.1640625" style="2" bestFit="1" customWidth="1"/>
    <col min="8" max="8" width="17.33203125" style="2" bestFit="1" customWidth="1"/>
    <col min="9" max="9" width="19.83203125" style="2" bestFit="1" customWidth="1"/>
    <col min="10" max="10" width="12.1640625" style="2" bestFit="1" customWidth="1"/>
    <col min="11" max="16384" width="9" style="2"/>
  </cols>
  <sheetData>
    <row r="1" spans="1:11" x14ac:dyDescent="0.2">
      <c r="B1" s="2" t="str">
        <f>+'Summary '!A7</f>
        <v>S</v>
      </c>
    </row>
    <row r="2" spans="1:11" x14ac:dyDescent="0.2">
      <c r="A2" s="21" t="s">
        <v>8</v>
      </c>
      <c r="B2" s="21"/>
    </row>
    <row r="4" spans="1:11" x14ac:dyDescent="0.2">
      <c r="A4" s="31"/>
      <c r="B4" s="32"/>
      <c r="C4" s="33"/>
      <c r="D4" s="33"/>
      <c r="E4" s="33"/>
      <c r="F4" s="33"/>
      <c r="G4" s="33"/>
      <c r="H4" s="33"/>
      <c r="I4" s="33"/>
      <c r="J4" s="33"/>
      <c r="K4" s="34"/>
    </row>
    <row r="5" spans="1:11" x14ac:dyDescent="0.2">
      <c r="A5" s="31"/>
      <c r="B5" s="32"/>
      <c r="C5" s="33"/>
      <c r="D5" s="33"/>
      <c r="E5" s="33"/>
      <c r="F5" s="33"/>
      <c r="G5" s="33"/>
      <c r="H5" s="33"/>
      <c r="I5" s="33"/>
      <c r="J5" s="33"/>
      <c r="K5" s="34"/>
    </row>
    <row r="6" spans="1:11" x14ac:dyDescent="0.2">
      <c r="A6" s="31"/>
      <c r="B6" s="32"/>
      <c r="C6" s="33"/>
      <c r="D6" s="33"/>
      <c r="E6" s="33"/>
      <c r="F6" s="33"/>
      <c r="G6" s="33"/>
      <c r="H6" s="33"/>
      <c r="I6" s="33"/>
      <c r="J6" s="33"/>
      <c r="K6" s="34"/>
    </row>
    <row r="7" spans="1:11" x14ac:dyDescent="0.2">
      <c r="A7" s="31"/>
      <c r="B7" s="33"/>
      <c r="C7" s="33"/>
      <c r="D7" s="33"/>
      <c r="E7" s="33"/>
      <c r="F7" s="33"/>
      <c r="G7" s="33"/>
      <c r="H7" s="33"/>
      <c r="I7" s="33"/>
      <c r="J7" s="33"/>
      <c r="K7" s="34"/>
    </row>
    <row r="8" spans="1:11" x14ac:dyDescent="0.2">
      <c r="A8" s="31"/>
      <c r="B8" s="33"/>
      <c r="C8" s="33"/>
      <c r="D8" s="33"/>
      <c r="E8" s="33"/>
      <c r="F8" s="33"/>
      <c r="G8" s="33"/>
      <c r="H8" s="33"/>
      <c r="I8" s="33"/>
      <c r="J8" s="33"/>
      <c r="K8" s="34"/>
    </row>
    <row r="9" spans="1:11" x14ac:dyDescent="0.2">
      <c r="A9" s="31"/>
      <c r="B9" s="33"/>
      <c r="C9" s="33"/>
      <c r="D9" s="33"/>
      <c r="E9" s="33"/>
      <c r="F9" s="33"/>
      <c r="G9" s="33"/>
      <c r="H9" s="33"/>
      <c r="I9" s="33"/>
      <c r="J9" s="33"/>
      <c r="K9" s="34"/>
    </row>
    <row r="10" spans="1:11" x14ac:dyDescent="0.2">
      <c r="A10" s="31"/>
      <c r="B10" s="33"/>
      <c r="C10" s="33"/>
      <c r="D10" s="33"/>
      <c r="E10" s="33"/>
      <c r="F10" s="33"/>
      <c r="G10" s="33"/>
      <c r="H10" s="33"/>
      <c r="I10" s="33"/>
      <c r="J10" s="33"/>
      <c r="K10" s="34"/>
    </row>
    <row r="11" spans="1:11" s="37" customFormat="1" ht="20" customHeight="1" x14ac:dyDescent="0.25">
      <c r="A11" s="35"/>
      <c r="B11" s="47" t="s">
        <v>155</v>
      </c>
      <c r="C11" s="47" t="s">
        <v>41</v>
      </c>
      <c r="D11" s="47" t="s">
        <v>59</v>
      </c>
      <c r="E11" s="47" t="s">
        <v>12</v>
      </c>
      <c r="F11" s="47" t="s">
        <v>13</v>
      </c>
      <c r="G11" s="47" t="s">
        <v>44</v>
      </c>
      <c r="H11" s="47" t="s">
        <v>17</v>
      </c>
      <c r="I11" s="47" t="s">
        <v>64</v>
      </c>
      <c r="J11" s="47" t="s">
        <v>40</v>
      </c>
      <c r="K11" s="36"/>
    </row>
    <row r="12" spans="1:11" x14ac:dyDescent="0.2">
      <c r="A12" s="38"/>
      <c r="B12" s="54" t="s">
        <v>125</v>
      </c>
      <c r="C12" s="39" t="s">
        <v>126</v>
      </c>
      <c r="D12" s="86" t="s">
        <v>127</v>
      </c>
      <c r="E12" s="40" t="s">
        <v>128</v>
      </c>
      <c r="F12" s="41"/>
      <c r="G12" s="42"/>
      <c r="H12" s="23"/>
      <c r="I12" s="23"/>
      <c r="J12" s="23"/>
      <c r="K12" s="43"/>
    </row>
    <row r="13" spans="1:11" x14ac:dyDescent="0.2">
      <c r="A13" s="38"/>
      <c r="B13" s="56" t="s">
        <v>129</v>
      </c>
      <c r="C13" s="30" t="s">
        <v>131</v>
      </c>
      <c r="D13" s="87">
        <v>53535436</v>
      </c>
      <c r="E13" s="29" t="s">
        <v>130</v>
      </c>
      <c r="F13" s="27"/>
      <c r="G13" s="28"/>
      <c r="H13" s="24"/>
      <c r="I13" s="24"/>
      <c r="J13" s="24"/>
      <c r="K13" s="43"/>
    </row>
    <row r="14" spans="1:11" x14ac:dyDescent="0.2">
      <c r="A14" s="38"/>
      <c r="B14" s="54" t="s">
        <v>132</v>
      </c>
      <c r="C14" s="39" t="s">
        <v>133</v>
      </c>
      <c r="D14" s="88" t="s">
        <v>134</v>
      </c>
      <c r="E14" s="44" t="s">
        <v>135</v>
      </c>
      <c r="F14" s="41"/>
      <c r="G14" s="42"/>
      <c r="H14" s="23"/>
      <c r="I14" s="23"/>
      <c r="J14" s="23"/>
      <c r="K14" s="43"/>
    </row>
    <row r="15" spans="1:11" x14ac:dyDescent="0.2">
      <c r="A15" s="38"/>
      <c r="B15" s="56" t="s">
        <v>139</v>
      </c>
      <c r="C15" s="26" t="s">
        <v>136</v>
      </c>
      <c r="D15" s="89" t="s">
        <v>137</v>
      </c>
      <c r="E15" s="29" t="s">
        <v>138</v>
      </c>
      <c r="F15" s="27"/>
      <c r="G15" s="28"/>
      <c r="H15" s="24"/>
      <c r="I15" s="24"/>
      <c r="J15" s="24"/>
      <c r="K15" s="43"/>
    </row>
    <row r="16" spans="1:11" x14ac:dyDescent="0.2">
      <c r="A16" s="38"/>
      <c r="B16" s="54" t="s">
        <v>142</v>
      </c>
      <c r="C16" s="2" t="s">
        <v>143</v>
      </c>
      <c r="D16" s="88" t="s">
        <v>140</v>
      </c>
      <c r="E16" s="50" t="s">
        <v>141</v>
      </c>
      <c r="F16" s="41"/>
      <c r="G16" s="42"/>
      <c r="H16" s="23"/>
      <c r="I16" s="23"/>
      <c r="J16" s="23"/>
      <c r="K16" s="43"/>
    </row>
    <row r="17" spans="1:11" x14ac:dyDescent="0.2">
      <c r="A17" s="31"/>
      <c r="B17" s="56" t="s">
        <v>144</v>
      </c>
      <c r="C17" s="26" t="s">
        <v>145</v>
      </c>
      <c r="D17" s="89" t="s">
        <v>146</v>
      </c>
      <c r="E17" s="29" t="s">
        <v>147</v>
      </c>
      <c r="F17" s="27"/>
      <c r="G17" s="28"/>
      <c r="H17" s="24"/>
      <c r="I17" s="24"/>
      <c r="J17" s="24"/>
      <c r="K17" s="43"/>
    </row>
    <row r="18" spans="1:11" x14ac:dyDescent="0.2">
      <c r="A18" s="33"/>
      <c r="B18" s="54" t="s">
        <v>148</v>
      </c>
      <c r="C18" s="39" t="s">
        <v>149</v>
      </c>
      <c r="D18" s="86" t="s">
        <v>150</v>
      </c>
      <c r="E18" s="40" t="s">
        <v>151</v>
      </c>
      <c r="F18" s="41"/>
      <c r="G18" s="42"/>
      <c r="H18" s="23"/>
      <c r="I18" s="53"/>
      <c r="J18" s="23"/>
      <c r="K18" s="43"/>
    </row>
    <row r="19" spans="1:11" x14ac:dyDescent="0.2">
      <c r="A19" s="31"/>
      <c r="B19" s="56" t="s">
        <v>154</v>
      </c>
      <c r="C19" s="26" t="s">
        <v>152</v>
      </c>
      <c r="D19" s="30" t="s">
        <v>153</v>
      </c>
      <c r="E19" s="29" t="s">
        <v>82</v>
      </c>
      <c r="F19" s="27"/>
      <c r="G19" s="24"/>
      <c r="H19" s="24"/>
      <c r="I19" s="24"/>
      <c r="J19" s="24"/>
      <c r="K19" s="43"/>
    </row>
    <row r="20" spans="1:11" x14ac:dyDescent="0.2">
      <c r="A20" s="31"/>
      <c r="B20" s="54"/>
      <c r="C20" s="39"/>
      <c r="D20" s="45"/>
      <c r="E20" s="44"/>
      <c r="F20" s="41"/>
      <c r="G20" s="23"/>
      <c r="H20" s="23"/>
      <c r="I20" s="23"/>
      <c r="J20" s="23"/>
      <c r="K20" s="43"/>
    </row>
    <row r="21" spans="1:11" x14ac:dyDescent="0.2">
      <c r="A21" s="33"/>
      <c r="B21" s="56"/>
      <c r="C21" s="26"/>
      <c r="D21" s="30"/>
      <c r="E21" s="29"/>
      <c r="F21" s="1"/>
      <c r="G21" s="24"/>
      <c r="H21" s="24"/>
      <c r="I21" s="24"/>
      <c r="J21" s="24"/>
      <c r="K21" s="23"/>
    </row>
    <row r="22" spans="1:11" x14ac:dyDescent="0.2">
      <c r="A22" s="33"/>
      <c r="B22" s="54"/>
      <c r="C22" s="33"/>
      <c r="D22" s="51"/>
      <c r="E22" s="52"/>
      <c r="G22" s="33"/>
      <c r="H22" s="33"/>
      <c r="I22" s="33"/>
      <c r="J22" s="33"/>
      <c r="K22" s="33"/>
    </row>
    <row r="23" spans="1:11" x14ac:dyDescent="0.2">
      <c r="B23" s="57"/>
      <c r="C23" s="13"/>
      <c r="D23" s="58"/>
      <c r="E23" s="58"/>
      <c r="F23" s="13"/>
      <c r="G23" s="13"/>
      <c r="H23" s="13"/>
      <c r="I23" s="13"/>
      <c r="J23" s="13"/>
    </row>
    <row r="24" spans="1:11" x14ac:dyDescent="0.2">
      <c r="B24" s="55"/>
      <c r="D24" s="46"/>
      <c r="E24" s="50"/>
    </row>
    <row r="25" spans="1:11" x14ac:dyDescent="0.2">
      <c r="B25" s="57"/>
      <c r="C25" s="13"/>
      <c r="D25" s="58"/>
      <c r="E25" s="58"/>
      <c r="F25" s="13"/>
      <c r="G25" s="13"/>
      <c r="H25" s="13"/>
      <c r="I25" s="13"/>
      <c r="J25" s="13"/>
    </row>
    <row r="26" spans="1:11" x14ac:dyDescent="0.2">
      <c r="B26" s="55"/>
      <c r="D26" s="50"/>
      <c r="E26" s="50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1"/>
  <sheetViews>
    <sheetView topLeftCell="A3" workbookViewId="0">
      <selection activeCell="B33" sqref="B33"/>
    </sheetView>
  </sheetViews>
  <sheetFormatPr baseColWidth="10" defaultRowHeight="16" x14ac:dyDescent="0.2"/>
  <cols>
    <col min="1" max="1" width="17.6640625" style="2" bestFit="1" customWidth="1"/>
    <col min="2" max="2" width="10.83203125" style="2"/>
    <col min="3" max="3" width="13.1640625" style="2" bestFit="1" customWidth="1"/>
    <col min="4" max="4" width="10.83203125" style="2"/>
    <col min="5" max="5" width="22.33203125" style="2" bestFit="1" customWidth="1"/>
    <col min="6" max="6" width="18.6640625" style="2" bestFit="1" customWidth="1"/>
    <col min="7" max="7" width="16.33203125" style="2" bestFit="1" customWidth="1"/>
    <col min="8" max="8" width="8.1640625" style="2" bestFit="1" customWidth="1"/>
    <col min="9" max="9" width="17.6640625" style="2" bestFit="1" customWidth="1"/>
    <col min="10" max="10" width="10.83203125" style="2"/>
    <col min="11" max="11" width="13.83203125" style="2" bestFit="1" customWidth="1"/>
    <col min="12" max="12" width="19.83203125" style="2" customWidth="1"/>
    <col min="13" max="16384" width="10.83203125" style="2"/>
  </cols>
  <sheetData>
    <row r="6" spans="1:12" x14ac:dyDescent="0.2">
      <c r="C6" s="2" t="s">
        <v>31</v>
      </c>
      <c r="D6" s="2" t="s">
        <v>23</v>
      </c>
      <c r="E6" s="2" t="s">
        <v>32</v>
      </c>
      <c r="F6" s="2" t="s">
        <v>35</v>
      </c>
      <c r="G6" s="2" t="s">
        <v>33</v>
      </c>
      <c r="I6" s="2" t="s">
        <v>34</v>
      </c>
      <c r="J6" s="2" t="s">
        <v>26</v>
      </c>
      <c r="K6" s="2" t="s">
        <v>42</v>
      </c>
      <c r="L6" s="2" t="s">
        <v>37</v>
      </c>
    </row>
    <row r="7" spans="1:12" x14ac:dyDescent="0.2">
      <c r="B7" s="2" t="s">
        <v>21</v>
      </c>
      <c r="C7" s="2">
        <v>173.8</v>
      </c>
      <c r="D7" s="2">
        <f>+B15*B16</f>
        <v>5400</v>
      </c>
      <c r="E7" s="2">
        <v>13402</v>
      </c>
      <c r="F7" s="2">
        <f>E7-D7</f>
        <v>8002</v>
      </c>
      <c r="G7" s="2">
        <f>C7-B16</f>
        <v>113.80000000000001</v>
      </c>
      <c r="H7" s="2">
        <f>G7*$B$14</f>
        <v>8535</v>
      </c>
      <c r="I7" s="2">
        <f>F7-H7</f>
        <v>-533</v>
      </c>
      <c r="J7" s="22">
        <f>I7*$B$13</f>
        <v>-26.650000000000002</v>
      </c>
      <c r="K7" s="48">
        <f>J7/G7</f>
        <v>-0.23418277680140598</v>
      </c>
      <c r="L7" s="25">
        <f>C7-B16</f>
        <v>113.80000000000001</v>
      </c>
    </row>
    <row r="8" spans="1:12" ht="17" customHeight="1" x14ac:dyDescent="0.2">
      <c r="B8" s="2" t="s">
        <v>22</v>
      </c>
      <c r="C8" s="2">
        <v>90</v>
      </c>
      <c r="D8" s="2">
        <f>$B$15*B17</f>
        <v>3600</v>
      </c>
      <c r="E8" s="2">
        <v>8483</v>
      </c>
      <c r="F8" s="2">
        <f t="shared" ref="F8" si="0">E8-D8</f>
        <v>4883</v>
      </c>
      <c r="G8" s="2">
        <f t="shared" ref="G8" si="1">C8-B17</f>
        <v>50</v>
      </c>
      <c r="H8" s="2">
        <f t="shared" ref="H8" si="2">G8*$B$14</f>
        <v>3750</v>
      </c>
      <c r="I8" s="2">
        <f t="shared" ref="I8" si="3">F8-H8</f>
        <v>1133</v>
      </c>
      <c r="J8" s="22">
        <f t="shared" ref="J8" si="4">I8*$B$13</f>
        <v>56.650000000000006</v>
      </c>
      <c r="K8" s="49">
        <f>J8/G8</f>
        <v>1.133</v>
      </c>
      <c r="L8" s="25">
        <f>C8-B17</f>
        <v>50</v>
      </c>
    </row>
    <row r="9" spans="1:12" ht="17" customHeight="1" x14ac:dyDescent="0.2">
      <c r="J9" s="22"/>
      <c r="K9" s="49"/>
      <c r="L9" s="25"/>
    </row>
    <row r="10" spans="1:12" ht="17" customHeight="1" x14ac:dyDescent="0.2">
      <c r="J10" s="22"/>
      <c r="K10" s="49"/>
      <c r="L10" s="25"/>
    </row>
    <row r="12" spans="1:12" x14ac:dyDescent="0.2">
      <c r="A12" s="64" t="s">
        <v>27</v>
      </c>
    </row>
    <row r="13" spans="1:12" x14ac:dyDescent="0.2">
      <c r="A13" s="2" t="s">
        <v>28</v>
      </c>
      <c r="B13" s="2">
        <v>0.05</v>
      </c>
    </row>
    <row r="14" spans="1:12" x14ac:dyDescent="0.2">
      <c r="A14" s="2" t="s">
        <v>29</v>
      </c>
      <c r="B14" s="2">
        <v>75</v>
      </c>
    </row>
    <row r="15" spans="1:12" x14ac:dyDescent="0.2">
      <c r="A15" s="2" t="s">
        <v>30</v>
      </c>
      <c r="B15" s="2">
        <v>90</v>
      </c>
    </row>
    <row r="16" spans="1:12" x14ac:dyDescent="0.2">
      <c r="A16" s="21" t="s">
        <v>25</v>
      </c>
      <c r="B16" s="2">
        <v>60</v>
      </c>
      <c r="C16" s="2" t="s">
        <v>60</v>
      </c>
    </row>
    <row r="17" spans="1:7" x14ac:dyDescent="0.2">
      <c r="A17" s="21" t="s">
        <v>24</v>
      </c>
      <c r="B17" s="2">
        <v>40</v>
      </c>
    </row>
    <row r="18" spans="1:7" x14ac:dyDescent="0.2">
      <c r="A18" s="21"/>
      <c r="B18" s="2">
        <v>0</v>
      </c>
    </row>
    <row r="19" spans="1:7" x14ac:dyDescent="0.2">
      <c r="A19" s="2" t="s">
        <v>38</v>
      </c>
      <c r="B19" s="2">
        <v>0</v>
      </c>
    </row>
    <row r="23" spans="1:7" x14ac:dyDescent="0.2">
      <c r="B23" s="2">
        <f>5*20</f>
        <v>100</v>
      </c>
    </row>
    <row r="24" spans="1:7" x14ac:dyDescent="0.2">
      <c r="E24" s="2">
        <v>116.54</v>
      </c>
    </row>
    <row r="25" spans="1:7" x14ac:dyDescent="0.2">
      <c r="E25" s="2">
        <f>+E24*75</f>
        <v>8740.5</v>
      </c>
    </row>
    <row r="26" spans="1:7" x14ac:dyDescent="0.2">
      <c r="E26" s="2">
        <v>11119</v>
      </c>
      <c r="F26" s="2">
        <f>(E26-E25)*0.05</f>
        <v>118.92500000000001</v>
      </c>
      <c r="G26" s="2">
        <f>F26-50</f>
        <v>68.925000000000011</v>
      </c>
    </row>
    <row r="27" spans="1:7" x14ac:dyDescent="0.2">
      <c r="F27" s="2">
        <f>+F2</f>
        <v>0</v>
      </c>
    </row>
    <row r="31" spans="1:7" x14ac:dyDescent="0.2">
      <c r="G31" s="2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:B1"/>
  <sheetViews>
    <sheetView topLeftCell="B1" zoomScaleNormal="100" workbookViewId="0">
      <selection activeCell="L36" sqref="L36"/>
    </sheetView>
  </sheetViews>
  <sheetFormatPr baseColWidth="10" defaultRowHeight="16" x14ac:dyDescent="0.2"/>
  <cols>
    <col min="1" max="16384" width="10.83203125" style="2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 </vt:lpstr>
      <vt:lpstr>Timesheet </vt:lpstr>
      <vt:lpstr>Holiday notes </vt:lpstr>
      <vt:lpstr>Starter checklist </vt:lpstr>
      <vt:lpstr>Dumpling Bonus </vt:lpstr>
      <vt:lpstr>new</vt:lpstr>
      <vt:lpstr>'Holiday notes 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2023-10-23T14:07:01Z</dcterms:modified>
</cp:coreProperties>
</file>