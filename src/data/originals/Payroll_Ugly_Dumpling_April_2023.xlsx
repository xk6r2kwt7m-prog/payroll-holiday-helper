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Ad Ugly 1 /Payroll 2023/"/>
    </mc:Choice>
  </mc:AlternateContent>
  <xr:revisionPtr revIDLastSave="0" documentId="13_ncr:1_{D57C5578-53B2-9649-83D5-443E8AA60E18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SUMMARY" sheetId="3" r:id="rId1"/>
    <sheet name="FOH&amp;BOH " sheetId="8" r:id="rId2"/>
    <sheet name="HOLIDAYS AND NOTES" sheetId="2" r:id="rId3"/>
    <sheet name="STARTERS DETAILS " sheetId="4" r:id="rId4"/>
    <sheet name="Dumpling Bonus " sheetId="6" r:id="rId5"/>
  </sheets>
  <definedNames>
    <definedName name="_xlnm.Print_Area" localSheetId="2">'HOLIDAYS AND NOTES'!$A$4:$F$15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8" i="3" l="1"/>
  <c r="F18" i="3"/>
  <c r="E17" i="3"/>
  <c r="N29" i="8"/>
  <c r="M29" i="8"/>
  <c r="F14" i="8"/>
  <c r="F8" i="2"/>
  <c r="F12" i="2"/>
  <c r="F21" i="8"/>
  <c r="F7" i="2"/>
  <c r="F29" i="8"/>
  <c r="I11" i="8"/>
  <c r="F9" i="2"/>
  <c r="F10" i="2"/>
  <c r="F6" i="2"/>
  <c r="F18" i="8" l="1"/>
  <c r="I17" i="8"/>
  <c r="F17" i="8"/>
  <c r="D8" i="6"/>
  <c r="F34" i="8"/>
  <c r="E31" i="8" l="1"/>
  <c r="B23" i="6"/>
  <c r="G3" i="8" l="1"/>
  <c r="G4" i="8"/>
  <c r="G5" i="8"/>
  <c r="G6" i="8"/>
  <c r="G7" i="8"/>
  <c r="G8" i="8"/>
  <c r="G9" i="8"/>
  <c r="G10" i="8"/>
  <c r="G12" i="8"/>
  <c r="G14" i="8"/>
  <c r="G15" i="8"/>
  <c r="G16" i="8"/>
  <c r="G19" i="8"/>
  <c r="G20" i="8"/>
  <c r="G22" i="8"/>
  <c r="G23" i="8"/>
  <c r="G24" i="8"/>
  <c r="G26" i="8"/>
  <c r="G27" i="8"/>
  <c r="G28" i="8"/>
  <c r="G29" i="8"/>
  <c r="G30" i="8"/>
  <c r="G31" i="8"/>
  <c r="G32" i="8"/>
  <c r="G33" i="8"/>
  <c r="G34" i="8"/>
  <c r="G35" i="8"/>
  <c r="G2" i="8"/>
  <c r="G21" i="8"/>
  <c r="G13" i="2"/>
  <c r="G26" i="6"/>
  <c r="F26" i="6"/>
  <c r="F27" i="6"/>
  <c r="E25" i="6"/>
  <c r="F8" i="6"/>
  <c r="E10" i="6"/>
  <c r="G9" i="6"/>
  <c r="H9" i="6" s="1"/>
  <c r="G8" i="6"/>
  <c r="G10" i="6"/>
  <c r="H10" i="6" s="1"/>
  <c r="G11" i="6"/>
  <c r="F9" i="6"/>
  <c r="F10" i="6"/>
  <c r="F11" i="6"/>
  <c r="I11" i="6" s="1"/>
  <c r="D7" i="6"/>
  <c r="G11" i="8" l="1"/>
  <c r="G25" i="8"/>
  <c r="F13" i="2"/>
  <c r="C16" i="3" s="1"/>
  <c r="I10" i="6"/>
  <c r="J10" i="6" s="1"/>
  <c r="I9" i="6"/>
  <c r="J9" i="6" s="1"/>
  <c r="H8" i="6"/>
  <c r="I8" i="6" s="1"/>
  <c r="C58" i="8" l="1"/>
  <c r="I43" i="8" a="1"/>
  <c r="I43" i="8" s="1"/>
  <c r="L7" i="6" l="1"/>
  <c r="G18" i="8" s="1"/>
  <c r="F7" i="6" l="1"/>
  <c r="G7" i="6" l="1"/>
  <c r="H7" i="6" l="1"/>
  <c r="L8" i="6"/>
  <c r="G17" i="8" s="1"/>
  <c r="G36" i="8" s="1"/>
  <c r="C14" i="3" s="1"/>
  <c r="I7" i="6" l="1"/>
  <c r="J7" i="6" s="1"/>
  <c r="J8" i="6"/>
  <c r="I36" i="8" s="1"/>
  <c r="K8" i="6" l="1"/>
  <c r="H36" i="8"/>
  <c r="C15" i="3" s="1"/>
  <c r="K7" i="6" l="1"/>
  <c r="B1" i="4"/>
  <c r="C1" i="2"/>
  <c r="C17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<sst xmlns="http://schemas.openxmlformats.org/spreadsheetml/2006/main" count="207" uniqueCount="142">
  <si>
    <t>Employee Reference</t>
  </si>
  <si>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</si>
  <si>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</si>
  <si>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</si>
  <si>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</si>
  <si>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</si>
  <si>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</si>
  <si>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</si>
  <si>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>PAYROLL TOTAL</t>
  </si>
  <si>
    <t xml:space="preserve">Dimitris </t>
  </si>
  <si>
    <t xml:space="preserve">Papachristos </t>
  </si>
  <si>
    <t xml:space="preserve">Hourly Rate </t>
  </si>
  <si>
    <t xml:space="preserve">Auntie Wing </t>
  </si>
  <si>
    <t>Auntie WING</t>
  </si>
  <si>
    <t xml:space="preserve">NOTES </t>
  </si>
  <si>
    <t>Waitress</t>
  </si>
  <si>
    <t xml:space="preserve">Kitchen Manager </t>
  </si>
  <si>
    <t>HOLIDAYS TOTAL</t>
  </si>
  <si>
    <t xml:space="preserve">TOTAL </t>
  </si>
  <si>
    <t xml:space="preserve">TOTAL PAYROLL </t>
  </si>
  <si>
    <t xml:space="preserve">Prod. Team </t>
  </si>
  <si>
    <t>Sort Code</t>
  </si>
  <si>
    <t xml:space="preserve">Nationality </t>
  </si>
  <si>
    <t xml:space="preserve">Jean Carlos </t>
  </si>
  <si>
    <t>Garcia Gonzalez</t>
  </si>
  <si>
    <t>Cham</t>
  </si>
  <si>
    <t xml:space="preserve">Lissette </t>
  </si>
  <si>
    <t>Paredes</t>
  </si>
  <si>
    <t xml:space="preserve">Serior Chef </t>
  </si>
  <si>
    <t>Lorna</t>
  </si>
  <si>
    <t xml:space="preserve">Lau </t>
  </si>
  <si>
    <t>Kitchen Staff</t>
  </si>
  <si>
    <t xml:space="preserve">Setlment status </t>
  </si>
  <si>
    <t xml:space="preserve">Bruno </t>
  </si>
  <si>
    <t xml:space="preserve">Martins </t>
  </si>
  <si>
    <t>Vargas Feliz</t>
  </si>
  <si>
    <t>Adalgisa</t>
  </si>
  <si>
    <t>Tamar</t>
  </si>
  <si>
    <t>Molina Rios</t>
  </si>
  <si>
    <t>Sergio</t>
  </si>
  <si>
    <t>Ferrerosa</t>
  </si>
  <si>
    <t>Naomi Jhuliana</t>
  </si>
  <si>
    <t>Vallejos</t>
  </si>
  <si>
    <t xml:space="preserve">Junior chef </t>
  </si>
  <si>
    <t>Heidy</t>
  </si>
  <si>
    <t xml:space="preserve"> Share Code</t>
  </si>
  <si>
    <t xml:space="preserve">Leonor </t>
  </si>
  <si>
    <t xml:space="preserve">Ferreira </t>
  </si>
  <si>
    <t>Wai Pink (Jess)</t>
  </si>
  <si>
    <t>Pay Comp. Description</t>
  </si>
  <si>
    <t>Pay</t>
  </si>
  <si>
    <t>Status</t>
  </si>
  <si>
    <t>S.Charge</t>
  </si>
  <si>
    <t>Notes</t>
  </si>
  <si>
    <t>H. Rate</t>
  </si>
  <si>
    <t>Jayaraj</t>
  </si>
  <si>
    <t xml:space="preserve">Rochelle </t>
  </si>
  <si>
    <t xml:space="preserve">Perf. Bonus </t>
  </si>
  <si>
    <t xml:space="preserve">Wing </t>
  </si>
  <si>
    <t>Jess</t>
  </si>
  <si>
    <t>Cash ded</t>
  </si>
  <si>
    <t>jess</t>
  </si>
  <si>
    <t xml:space="preserve">wing </t>
  </si>
  <si>
    <t xml:space="preserve">Bonus </t>
  </si>
  <si>
    <t>Ref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</si>
  <si>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</si>
  <si>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</si>
  <si>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</si>
  <si>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</si>
  <si>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</si>
  <si>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</si>
  <si>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</si>
  <si>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>Total minus cash ded</t>
  </si>
  <si>
    <t xml:space="preserve">Kitty </t>
  </si>
  <si>
    <t xml:space="preserve">Oil Lan </t>
  </si>
  <si>
    <t xml:space="preserve">hours after bonus </t>
  </si>
  <si>
    <t xml:space="preserve">David Daniel </t>
  </si>
  <si>
    <t xml:space="preserve">Molina Rios </t>
  </si>
  <si>
    <t xml:space="preserve">Agata </t>
  </si>
  <si>
    <t xml:space="preserve">Drobinska </t>
  </si>
  <si>
    <t xml:space="preserve">Manapalli </t>
  </si>
  <si>
    <t xml:space="preserve">Saicharan </t>
  </si>
  <si>
    <t xml:space="preserve">Ling </t>
  </si>
  <si>
    <t>Chak</t>
  </si>
  <si>
    <t>Resid. Card</t>
  </si>
  <si>
    <t>NINo</t>
  </si>
  <si>
    <t xml:space="preserve">bonus per hour </t>
  </si>
  <si>
    <t xml:space="preserve">STATUS </t>
  </si>
  <si>
    <t xml:space="preserve">Ass. Manager </t>
  </si>
  <si>
    <t>Passaport nb</t>
  </si>
  <si>
    <t xml:space="preserve">Chala Quilumba </t>
  </si>
  <si>
    <t xml:space="preserve">Matos </t>
  </si>
  <si>
    <t xml:space="preserve">Olga </t>
  </si>
  <si>
    <t xml:space="preserve">Anny Belkys </t>
  </si>
  <si>
    <t xml:space="preserve">New Startes </t>
  </si>
  <si>
    <t xml:space="preserve">Ramos </t>
  </si>
  <si>
    <t>Hafiz Abdur</t>
  </si>
  <si>
    <t xml:space="preserve">Rahim </t>
  </si>
  <si>
    <t xml:space="preserve">Khong </t>
  </si>
  <si>
    <t xml:space="preserve">Setareh </t>
  </si>
  <si>
    <t xml:space="preserve">Saeedfar </t>
  </si>
  <si>
    <t xml:space="preserve">Manager </t>
  </si>
  <si>
    <t xml:space="preserve">Endea </t>
  </si>
  <si>
    <t xml:space="preserve">Stractchan </t>
  </si>
  <si>
    <t xml:space="preserve">Benjamin </t>
  </si>
  <si>
    <t xml:space="preserve">Gray </t>
  </si>
  <si>
    <t xml:space="preserve">Adriana </t>
  </si>
  <si>
    <t xml:space="preserve">Baca </t>
  </si>
  <si>
    <t xml:space="preserve">INCENTIVES </t>
  </si>
  <si>
    <t>Kitchen Ass. manager</t>
  </si>
  <si>
    <t xml:space="preserve">Durba </t>
  </si>
  <si>
    <t xml:space="preserve">Chandan </t>
  </si>
  <si>
    <t>Waiter</t>
  </si>
  <si>
    <t>Bank Account N</t>
  </si>
  <si>
    <t>hours</t>
  </si>
  <si>
    <t>Arun</t>
  </si>
  <si>
    <t xml:space="preserve">Leaver </t>
  </si>
  <si>
    <t>Kitchen Ass. Manager (training)</t>
  </si>
  <si>
    <t xml:space="preserve"> </t>
  </si>
  <si>
    <t>Hannah</t>
  </si>
  <si>
    <t>Lauber</t>
  </si>
  <si>
    <t xml:space="preserve">Tasmin </t>
  </si>
  <si>
    <t xml:space="preserve">Akhter </t>
  </si>
  <si>
    <t xml:space="preserve">Roger </t>
  </si>
  <si>
    <t xml:space="preserve">Rodriguez </t>
  </si>
  <si>
    <t xml:space="preserve">Tamin </t>
  </si>
  <si>
    <t xml:space="preserve">Tammy </t>
  </si>
  <si>
    <t>§</t>
  </si>
  <si>
    <t>Mei Li (Tammy)</t>
  </si>
  <si>
    <t xml:space="preserve">Aleksandra </t>
  </si>
  <si>
    <t>Kolesnik</t>
  </si>
  <si>
    <t>BOH</t>
  </si>
  <si>
    <t xml:space="preserve">Special Arrang. Bonus </t>
  </si>
  <si>
    <t xml:space="preserve">Sai </t>
  </si>
  <si>
    <t xml:space="preserve">leaver </t>
  </si>
  <si>
    <t xml:space="preserve">Sergio </t>
  </si>
  <si>
    <t xml:space="preserve">Sick pay 3 weeks </t>
  </si>
  <si>
    <t>Pay rise £9</t>
  </si>
  <si>
    <t>pay rise £8.5</t>
  </si>
  <si>
    <t xml:space="preserve">Tamar </t>
  </si>
  <si>
    <t>already paid ?</t>
  </si>
  <si>
    <t>PAYROLL  27 th of  March to 23 of April  UGLY DUMPLING 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</si>
</sst>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£&quot;#,##0_);[Red]\(&quot;£&quot;#,##0\)"/>
    <numFmt numFmtId="44" formatCode="_(&quot;£&quot;* #,##0.00_);_(&quot;£&quot;* \(#,##0.00\);_(&quot;£&quot;* &quot;-&quot;??_);_(@_)"/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2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 (Body)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 (Body)"/>
    </font>
    <font>
      <sz val="12"/>
      <color rgb="FFFF0000"/>
      <name val="Calibri"/>
      <family val="2"/>
      <scheme val="minor"/>
    </font>
    <font>
      <b/>
      <sz val="10"/>
      <name val="Calibri Light"/>
      <family val="2"/>
      <scheme val="maj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405E83"/>
      <name val="Microsoft Sans Serif"/>
      <family val="2"/>
    </font>
    <font>
      <sz val="10"/>
      <color theme="9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2"/>
      <color theme="1"/>
      <name val="Calibri"/>
      <family val="2"/>
    </font>
    <font>
      <b/>
      <sz val="10"/>
      <color rgb="FFFF0000"/>
      <name val="Calibri Light"/>
      <family val="2"/>
      <scheme val="major"/>
    </font>
    <font>
      <sz val="10"/>
      <color rgb="FF000000"/>
      <name val="Calibri Light"/>
      <family val="2"/>
    </font>
    <font>
      <sz val="10"/>
      <name val="Calibri Light"/>
      <family val="2"/>
    </font>
    <font>
      <b/>
      <sz val="10"/>
      <color rgb="FF000000"/>
      <name val="Calibri Light"/>
      <family val="2"/>
    </font>
    <font>
      <sz val="10"/>
      <color theme="1"/>
      <name val="Calibri"/>
      <family val="2"/>
    </font>
    <font>
      <sz val="12"/>
      <color theme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80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0" fillId="3" borderId="0" xfId="0" applyFill="1" applyBorder="1"/>
    <xf numFmtId="0" fontId="0" fillId="2" borderId="0" xfId="0" applyFill="1"/>
    <xf numFmtId="166" fontId="0" fillId="2" borderId="0" xfId="0" applyNumberFormat="1" applyFill="1" applyAlignment="1">
      <alignment horizontal="right"/>
    </xf>
    <xf numFmtId="0" fontId="6" fillId="2" borderId="0" xfId="0" applyFont="1" applyFill="1"/>
    <xf numFmtId="0" fontId="8" fillId="2" borderId="1" xfId="0" applyFont="1" applyFill="1" applyBorder="1" applyAlignment="1"/>
    <xf numFmtId="0" fontId="7" fillId="2" borderId="1" xfId="0" applyFont="1" applyFill="1" applyBorder="1"/>
    <xf numFmtId="0" fontId="6" fillId="4" borderId="0" xfId="0" applyFont="1" applyFill="1"/>
    <xf numFmtId="165" fontId="6" fillId="4" borderId="0" xfId="0" applyNumberFormat="1" applyFont="1" applyFill="1"/>
    <xf numFmtId="0" fontId="6" fillId="4" borderId="0" xfId="0" applyFont="1" applyFill="1" applyBorder="1"/>
    <xf numFmtId="0" fontId="11" fillId="2" borderId="0" xfId="0" applyFont="1" applyFill="1"/>
    <xf numFmtId="0" fontId="9" fillId="2" borderId="0" xfId="0" applyFont="1" applyFill="1" applyBorder="1" applyAlignment="1">
      <alignment horizontal="center" vertical="center"/>
    </xf>
    <xf numFmtId="0" fontId="7" fillId="2" borderId="0" xfId="0" applyFont="1" applyFill="1" applyBorder="1"/>
    <xf numFmtId="0" fontId="2" fillId="2" borderId="0" xfId="0" applyFont="1" applyFill="1" applyAlignment="1">
      <alignment horizontal="center"/>
    </xf>
    <xf numFmtId="0" fontId="8" fillId="2" borderId="0" xfId="0" applyFont="1" applyFill="1" applyBorder="1" applyAlignment="1"/>
    <xf numFmtId="165" fontId="7" fillId="2" borderId="0" xfId="0" applyNumberFormat="1" applyFont="1" applyFill="1" applyBorder="1"/>
    <xf numFmtId="0" fontId="0" fillId="3" borderId="0" xfId="0" applyFill="1"/>
    <xf numFmtId="167" fontId="11" fillId="2" borderId="0" xfId="0" applyNumberFormat="1" applyFont="1" applyFill="1"/>
    <xf numFmtId="0" fontId="12" fillId="2" borderId="1" xfId="0" applyFont="1" applyFill="1" applyBorder="1"/>
    <xf numFmtId="9" fontId="14" fillId="2" borderId="0" xfId="79" applyFont="1" applyFill="1"/>
    <xf numFmtId="0" fontId="10" fillId="2" borderId="0" xfId="0" applyFont="1" applyFill="1" applyBorder="1" applyAlignment="1">
      <alignment horizontal="center" vertical="center"/>
    </xf>
    <xf numFmtId="0" fontId="11" fillId="4" borderId="2" xfId="0" applyFont="1" applyFill="1" applyBorder="1"/>
    <xf numFmtId="0" fontId="10" fillId="2" borderId="0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right"/>
    </xf>
    <xf numFmtId="167" fontId="0" fillId="2" borderId="0" xfId="0" applyNumberFormat="1" applyFill="1"/>
    <xf numFmtId="0" fontId="2" fillId="2" borderId="0" xfId="0" applyFont="1" applyFill="1"/>
    <xf numFmtId="165" fontId="2" fillId="2" borderId="0" xfId="0" applyNumberFormat="1" applyFont="1" applyFill="1"/>
    <xf numFmtId="0" fontId="18" fillId="2" borderId="2" xfId="0" applyFont="1" applyFill="1" applyBorder="1" applyAlignment="1">
      <alignment horizontal="left" vertical="center"/>
    </xf>
    <xf numFmtId="0" fontId="20" fillId="2" borderId="0" xfId="0" applyFont="1" applyFill="1" applyBorder="1"/>
    <xf numFmtId="0" fontId="20" fillId="3" borderId="0" xfId="0" applyFont="1" applyFill="1" applyBorder="1"/>
    <xf numFmtId="0" fontId="14" fillId="2" borderId="0" xfId="0" applyFont="1" applyFill="1"/>
    <xf numFmtId="0" fontId="20" fillId="3" borderId="0" xfId="0" applyFont="1" applyFill="1" applyBorder="1" applyAlignment="1"/>
    <xf numFmtId="1" fontId="20" fillId="3" borderId="0" xfId="0" applyNumberFormat="1" applyFont="1" applyFill="1" applyBorder="1" applyAlignment="1"/>
    <xf numFmtId="0" fontId="20" fillId="3" borderId="0" xfId="0" applyFont="1" applyFill="1" applyBorder="1" applyAlignment="1">
      <alignment horizontal="left"/>
    </xf>
    <xf numFmtId="1" fontId="20" fillId="3" borderId="0" xfId="0" applyNumberFormat="1" applyFont="1" applyFill="1" applyBorder="1" applyAlignment="1">
      <alignment horizontal="left"/>
    </xf>
    <xf numFmtId="49" fontId="20" fillId="3" borderId="0" xfId="0" applyNumberFormat="1" applyFont="1" applyFill="1" applyBorder="1" applyAlignment="1">
      <alignment horizontal="left"/>
    </xf>
    <xf numFmtId="0" fontId="0" fillId="2" borderId="3" xfId="0" applyFill="1" applyBorder="1"/>
    <xf numFmtId="0" fontId="0" fillId="2" borderId="0" xfId="0" applyFont="1" applyFill="1" applyBorder="1"/>
    <xf numFmtId="0" fontId="0" fillId="2" borderId="0" xfId="0" applyFill="1" applyBorder="1"/>
    <xf numFmtId="0" fontId="0" fillId="2" borderId="4" xfId="0" applyFill="1" applyBorder="1"/>
    <xf numFmtId="0" fontId="16" fillId="2" borderId="3" xfId="0" applyFont="1" applyFill="1" applyBorder="1"/>
    <xf numFmtId="0" fontId="17" fillId="2" borderId="0" xfId="0" applyFont="1" applyFill="1" applyBorder="1"/>
    <xf numFmtId="0" fontId="16" fillId="2" borderId="0" xfId="0" applyFont="1" applyFill="1"/>
    <xf numFmtId="0" fontId="2" fillId="2" borderId="3" xfId="0" applyFont="1" applyFill="1" applyBorder="1"/>
    <xf numFmtId="0" fontId="20" fillId="2" borderId="0" xfId="0" applyFont="1" applyFill="1" applyBorder="1" applyAlignment="1"/>
    <xf numFmtId="1" fontId="20" fillId="2" borderId="0" xfId="0" applyNumberFormat="1" applyFont="1" applyFill="1" applyAlignment="1">
      <alignment horizontal="left"/>
    </xf>
    <xf numFmtId="1" fontId="20" fillId="2" borderId="0" xfId="0" applyNumberFormat="1" applyFont="1" applyFill="1" applyBorder="1" applyAlignment="1"/>
    <xf numFmtId="0" fontId="20" fillId="2" borderId="0" xfId="0" applyFont="1" applyFill="1" applyBorder="1" applyAlignment="1">
      <alignment horizontal="left"/>
    </xf>
    <xf numFmtId="0" fontId="20" fillId="2" borderId="4" xfId="0" applyFont="1" applyFill="1" applyBorder="1"/>
    <xf numFmtId="1" fontId="20" fillId="2" borderId="0" xfId="0" applyNumberFormat="1" applyFont="1" applyFill="1" applyBorder="1" applyAlignment="1">
      <alignment horizontal="left"/>
    </xf>
    <xf numFmtId="49" fontId="20" fillId="2" borderId="0" xfId="0" applyNumberFormat="1" applyFont="1" applyFill="1" applyBorder="1" applyAlignment="1">
      <alignment horizontal="left"/>
    </xf>
    <xf numFmtId="49" fontId="0" fillId="2" borderId="0" xfId="0" applyNumberFormat="1" applyFill="1" applyAlignment="1">
      <alignment horizontal="left"/>
    </xf>
    <xf numFmtId="0" fontId="20" fillId="2" borderId="0" xfId="0" applyFont="1" applyFill="1" applyAlignment="1"/>
    <xf numFmtId="49" fontId="20" fillId="2" borderId="0" xfId="0" applyNumberFormat="1" applyFont="1" applyFill="1" applyAlignment="1">
      <alignment horizontal="left"/>
    </xf>
    <xf numFmtId="0" fontId="17" fillId="2" borderId="2" xfId="0" applyFont="1" applyFill="1" applyBorder="1"/>
    <xf numFmtId="165" fontId="0" fillId="2" borderId="0" xfId="0" applyNumberFormat="1" applyFill="1"/>
    <xf numFmtId="165" fontId="14" fillId="2" borderId="0" xfId="0" applyNumberFormat="1" applyFont="1" applyFill="1"/>
    <xf numFmtId="0" fontId="0" fillId="2" borderId="0" xfId="0" applyFill="1" applyAlignment="1">
      <alignment horizontal="left"/>
    </xf>
    <xf numFmtId="0" fontId="0" fillId="2" borderId="0" xfId="0" quotePrefix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2" fontId="20" fillId="2" borderId="0" xfId="0" applyNumberFormat="1" applyFont="1" applyFill="1" applyBorder="1"/>
    <xf numFmtId="0" fontId="22" fillId="2" borderId="0" xfId="0" applyFont="1" applyFill="1" applyBorder="1"/>
    <xf numFmtId="0" fontId="22" fillId="2" borderId="0" xfId="0" applyFont="1" applyFill="1"/>
    <xf numFmtId="0" fontId="22" fillId="3" borderId="0" xfId="0" applyFont="1" applyFill="1" applyBorder="1"/>
    <xf numFmtId="0" fontId="22" fillId="3" borderId="0" xfId="0" applyFont="1" applyFill="1"/>
    <xf numFmtId="0" fontId="0" fillId="3" borderId="0" xfId="0" applyFill="1" applyAlignment="1">
      <alignment horizontal="left"/>
    </xf>
    <xf numFmtId="0" fontId="10" fillId="4" borderId="0" xfId="0" applyFont="1" applyFill="1"/>
    <xf numFmtId="165" fontId="10" fillId="4" borderId="0" xfId="0" applyNumberFormat="1" applyFont="1" applyFill="1"/>
    <xf numFmtId="164" fontId="6" fillId="4" borderId="0" xfId="78" applyFont="1" applyFill="1"/>
    <xf numFmtId="0" fontId="10" fillId="4" borderId="0" xfId="0" applyFont="1" applyFill="1" applyBorder="1"/>
    <xf numFmtId="165" fontId="6" fillId="4" borderId="0" xfId="0" applyNumberFormat="1" applyFont="1" applyFill="1" applyBorder="1" applyAlignment="1">
      <alignment horizontal="right" vertical="center"/>
    </xf>
    <xf numFmtId="0" fontId="19" fillId="4" borderId="0" xfId="0" applyFont="1" applyFill="1" applyBorder="1"/>
    <xf numFmtId="165" fontId="6" fillId="4" borderId="0" xfId="78" applyNumberFormat="1" applyFont="1" applyFill="1"/>
    <xf numFmtId="165" fontId="6" fillId="4" borderId="0" xfId="78" applyNumberFormat="1" applyFont="1" applyFill="1" applyBorder="1"/>
    <xf numFmtId="0" fontId="6" fillId="4" borderId="0" xfId="78" applyNumberFormat="1" applyFont="1" applyFill="1" applyBorder="1" applyAlignment="1">
      <alignment horizontal="right" vertical="center"/>
    </xf>
    <xf numFmtId="165" fontId="10" fillId="2" borderId="0" xfId="78" applyNumberFormat="1" applyFont="1" applyFill="1" applyBorder="1" applyAlignment="1">
      <alignment vertical="center"/>
    </xf>
    <xf numFmtId="164" fontId="9" fillId="2" borderId="0" xfId="78" applyFon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right"/>
    </xf>
    <xf numFmtId="0" fontId="9" fillId="2" borderId="5" xfId="0" applyFont="1" applyFill="1" applyBorder="1" applyAlignment="1">
      <alignment horizontal="center" vertical="center"/>
    </xf>
    <xf numFmtId="167" fontId="12" fillId="5" borderId="1" xfId="0" applyNumberFormat="1" applyFont="1" applyFill="1" applyBorder="1"/>
    <xf numFmtId="0" fontId="23" fillId="4" borderId="0" xfId="0" applyFont="1" applyFill="1"/>
    <xf numFmtId="0" fontId="7" fillId="4" borderId="0" xfId="0" applyFont="1" applyFill="1"/>
    <xf numFmtId="0" fontId="2" fillId="2" borderId="1" xfId="0" applyFont="1" applyFill="1" applyBorder="1"/>
    <xf numFmtId="0" fontId="15" fillId="2" borderId="1" xfId="0" applyFont="1" applyFill="1" applyBorder="1"/>
    <xf numFmtId="165" fontId="2" fillId="2" borderId="1" xfId="0" applyNumberFormat="1" applyFont="1" applyFill="1" applyBorder="1"/>
    <xf numFmtId="0" fontId="7" fillId="2" borderId="1" xfId="78" applyNumberFormat="1" applyFont="1" applyFill="1" applyBorder="1" applyAlignment="1">
      <alignment horizontal="right" vertical="center"/>
    </xf>
    <xf numFmtId="165" fontId="15" fillId="2" borderId="1" xfId="0" applyNumberFormat="1" applyFont="1" applyFill="1" applyBorder="1"/>
    <xf numFmtId="165" fontId="12" fillId="2" borderId="1" xfId="0" applyNumberFormat="1" applyFont="1" applyFill="1" applyBorder="1"/>
    <xf numFmtId="164" fontId="12" fillId="2" borderId="1" xfId="78" applyFont="1" applyFill="1" applyBorder="1"/>
    <xf numFmtId="0" fontId="27" fillId="4" borderId="0" xfId="0" applyFont="1" applyFill="1" applyBorder="1"/>
    <xf numFmtId="0" fontId="10" fillId="2" borderId="0" xfId="0" applyFont="1" applyFill="1"/>
    <xf numFmtId="164" fontId="6" fillId="2" borderId="0" xfId="78" applyFont="1" applyFill="1" applyAlignment="1">
      <alignment horizontal="right" vertical="center"/>
    </xf>
    <xf numFmtId="165" fontId="10" fillId="2" borderId="0" xfId="0" applyNumberFormat="1" applyFont="1" applyFill="1"/>
    <xf numFmtId="165" fontId="6" fillId="2" borderId="0" xfId="78" applyNumberFormat="1" applyFont="1" applyFill="1"/>
    <xf numFmtId="165" fontId="6" fillId="2" borderId="0" xfId="0" applyNumberFormat="1" applyFont="1" applyFill="1"/>
    <xf numFmtId="164" fontId="6" fillId="2" borderId="0" xfId="78" applyFont="1" applyFill="1"/>
    <xf numFmtId="0" fontId="6" fillId="2" borderId="0" xfId="0" applyFont="1" applyFill="1" applyBorder="1"/>
    <xf numFmtId="0" fontId="10" fillId="2" borderId="0" xfId="0" applyFont="1" applyFill="1" applyBorder="1"/>
    <xf numFmtId="164" fontId="6" fillId="2" borderId="0" xfId="78" applyFont="1" applyFill="1" applyBorder="1" applyAlignment="1">
      <alignment horizontal="right" vertical="center"/>
    </xf>
    <xf numFmtId="0" fontId="11" fillId="2" borderId="0" xfId="0" applyFont="1" applyFill="1" applyBorder="1"/>
    <xf numFmtId="164" fontId="11" fillId="2" borderId="0" xfId="78" applyFont="1" applyFill="1"/>
    <xf numFmtId="165" fontId="11" fillId="2" borderId="0" xfId="0" applyNumberFormat="1" applyFont="1" applyFill="1"/>
    <xf numFmtId="165" fontId="6" fillId="2" borderId="0" xfId="0" applyNumberFormat="1" applyFont="1" applyFill="1" applyBorder="1" applyAlignment="1">
      <alignment horizontal="right" vertical="center"/>
    </xf>
    <xf numFmtId="165" fontId="10" fillId="2" borderId="0" xfId="78" applyNumberFormat="1" applyFont="1" applyFill="1"/>
    <xf numFmtId="0" fontId="7" fillId="2" borderId="0" xfId="0" applyFont="1" applyFill="1"/>
    <xf numFmtId="0" fontId="23" fillId="2" borderId="0" xfId="0" applyFont="1" applyFill="1"/>
    <xf numFmtId="0" fontId="19" fillId="2" borderId="0" xfId="0" applyFont="1" applyFill="1" applyBorder="1"/>
    <xf numFmtId="165" fontId="6" fillId="2" borderId="0" xfId="78" applyNumberFormat="1" applyFont="1" applyFill="1" applyBorder="1"/>
    <xf numFmtId="0" fontId="6" fillId="2" borderId="0" xfId="78" applyNumberFormat="1" applyFont="1" applyFill="1" applyBorder="1" applyAlignment="1">
      <alignment horizontal="right" vertical="center"/>
    </xf>
    <xf numFmtId="0" fontId="27" fillId="2" borderId="0" xfId="0" applyFont="1" applyFill="1" applyBorder="1"/>
    <xf numFmtId="0" fontId="24" fillId="6" borderId="0" xfId="0" applyFont="1" applyFill="1"/>
    <xf numFmtId="0" fontId="25" fillId="6" borderId="0" xfId="0" applyFont="1" applyFill="1"/>
    <xf numFmtId="165" fontId="24" fillId="6" borderId="0" xfId="0" applyNumberFormat="1" applyFont="1" applyFill="1"/>
    <xf numFmtId="0" fontId="24" fillId="6" borderId="0" xfId="0" applyFont="1" applyFill="1" applyAlignment="1">
      <alignment horizontal="right" vertical="center"/>
    </xf>
    <xf numFmtId="164" fontId="24" fillId="6" borderId="0" xfId="0" applyNumberFormat="1" applyFont="1" applyFill="1"/>
    <xf numFmtId="0" fontId="26" fillId="6" borderId="0" xfId="0" applyFont="1" applyFill="1"/>
    <xf numFmtId="165" fontId="6" fillId="4" borderId="0" xfId="0" applyNumberFormat="1" applyFont="1" applyFill="1" applyAlignment="1">
      <alignment horizontal="right" vertical="center"/>
    </xf>
    <xf numFmtId="0" fontId="19" fillId="4" borderId="0" xfId="0" applyFont="1" applyFill="1"/>
    <xf numFmtId="6" fontId="6" fillId="2" borderId="0" xfId="0" applyNumberFormat="1" applyFont="1" applyFill="1"/>
    <xf numFmtId="164" fontId="6" fillId="4" borderId="0" xfId="78" applyFont="1" applyFill="1" applyAlignment="1">
      <alignment horizontal="right" vertical="center"/>
    </xf>
    <xf numFmtId="0" fontId="11" fillId="4" borderId="0" xfId="0" applyFont="1" applyFill="1"/>
    <xf numFmtId="0" fontId="11" fillId="4" borderId="0" xfId="0" applyFont="1" applyFill="1" applyBorder="1"/>
    <xf numFmtId="164" fontId="11" fillId="4" borderId="0" xfId="78" applyFont="1" applyFill="1"/>
    <xf numFmtId="165" fontId="11" fillId="4" borderId="0" xfId="0" applyNumberFormat="1" applyFont="1" applyFill="1"/>
    <xf numFmtId="165" fontId="21" fillId="2" borderId="0" xfId="0" applyNumberFormat="1" applyFont="1" applyFill="1" applyBorder="1" applyAlignment="1">
      <alignment horizontal="right" vertical="center"/>
    </xf>
    <xf numFmtId="165" fontId="21" fillId="4" borderId="0" xfId="0" applyNumberFormat="1" applyFont="1" applyFill="1" applyBorder="1" applyAlignment="1">
      <alignment horizontal="right" vertical="center"/>
    </xf>
    <xf numFmtId="165" fontId="19" fillId="4" borderId="0" xfId="0" applyNumberFormat="1" applyFont="1" applyFill="1"/>
    <xf numFmtId="0" fontId="28" fillId="2" borderId="0" xfId="0" applyFont="1" applyFill="1"/>
    <xf numFmtId="44" fontId="9" fillId="2" borderId="0" xfId="0" applyNumberFormat="1" applyFont="1" applyFill="1" applyBorder="1" applyAlignment="1">
      <alignment horizontal="center" vertical="center"/>
    </xf>
    <xf numFmtId="164" fontId="9" fillId="2" borderId="1" xfId="78" applyFont="1" applyFill="1" applyBorder="1" applyAlignment="1">
      <alignment horizontal="center" vertical="center"/>
    </xf>
    <xf numFmtId="0" fontId="0" fillId="4" borderId="0" xfId="0" applyFill="1"/>
    <xf numFmtId="0" fontId="2" fillId="2" borderId="0" xfId="0" applyFont="1" applyFill="1" applyAlignment="1">
      <alignment horizontal="left"/>
    </xf>
    <xf numFmtId="0" fontId="7" fillId="7" borderId="0" xfId="0" applyFont="1" applyFill="1" applyAlignment="1">
      <alignment horizontal="left"/>
    </xf>
    <xf numFmtId="0" fontId="1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5" fontId="12" fillId="4" borderId="0" xfId="0" applyNumberFormat="1" applyFont="1" applyFill="1"/>
    <xf numFmtId="10" fontId="14" fillId="2" borderId="0" xfId="79" applyNumberFormat="1" applyFont="1" applyFill="1"/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388620</xdr:colOff>
      <xdr:row>16</xdr:row>
      <xdr:rowOff>136800</xdr:rowOff>
    </xdr:from>
    <xdr:to>
      <xdr:col>4</xdr:col>
      <xdr:colOff>388980</xdr:colOff>
      <xdr:row>16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18"/>
  <sheetViews>
    <sheetView tabSelected="1" topLeftCell="A4" workbookViewId="0">
      <selection activeCell="E17" sqref="E17"/>
    </sheetView>
  </sheetViews>
  <sheetFormatPr baseColWidth="10" defaultColWidth="11" defaultRowHeight="16" x14ac:dyDescent="0.2"/>
  <cols>
    <col min="1" max="1" width="2" style="2" bestFit="1" customWidth="1"/>
    <col min="2" max="2" width="23.5" style="2" customWidth="1"/>
    <col min="3" max="3" width="27" style="2" customWidth="1"/>
    <col min="4" max="16384" width="11" style="2"/>
  </cols>
  <sheetData>
    <row r="4" spans="1:9" x14ac:dyDescent="0.2">
      <c r="A4" s="10"/>
    </row>
    <row r="5" spans="1:9" x14ac:dyDescent="0.2">
      <c r="A5" s="10"/>
    </row>
    <row r="6" spans="1:9" x14ac:dyDescent="0.2">
      <c r="A6" s="10"/>
    </row>
    <row r="7" spans="1:9" x14ac:dyDescent="0.2">
      <c r="A7" s="131" t="s">
        <v>141</v>
      </c>
      <c r="B7" s="131"/>
      <c r="C7" s="131"/>
      <c r="D7" s="131"/>
      <c r="E7" s="131"/>
      <c r="F7" s="131"/>
      <c r="G7" s="131"/>
      <c r="H7" s="131"/>
      <c r="I7" s="131"/>
    </row>
    <row r="8" spans="1:9" x14ac:dyDescent="0.2">
      <c r="A8" s="131"/>
      <c r="B8" s="131"/>
      <c r="C8" s="131"/>
      <c r="D8" s="131"/>
      <c r="E8" s="131"/>
      <c r="F8" s="131"/>
      <c r="G8" s="131"/>
      <c r="H8" s="131"/>
      <c r="I8" s="131"/>
    </row>
    <row r="9" spans="1:9" x14ac:dyDescent="0.2">
      <c r="A9" s="10"/>
      <c r="E9" s="24"/>
      <c r="F9" s="13"/>
    </row>
    <row r="12" spans="1:9" x14ac:dyDescent="0.2">
      <c r="C12" s="19"/>
    </row>
    <row r="13" spans="1:9" x14ac:dyDescent="0.2">
      <c r="B13" s="21"/>
      <c r="C13" s="23" t="s">
        <v>18</v>
      </c>
    </row>
    <row r="14" spans="1:9" x14ac:dyDescent="0.2">
      <c r="B14" s="10" t="s">
        <v>8</v>
      </c>
      <c r="C14" s="17">
        <f>'FOH&amp;BOH '!G36</f>
        <v>37613.581200000008</v>
      </c>
    </row>
    <row r="15" spans="1:9" x14ac:dyDescent="0.2">
      <c r="B15" s="10" t="s">
        <v>108</v>
      </c>
      <c r="C15" s="17">
        <f>'FOH&amp;BOH '!H36</f>
        <v>650</v>
      </c>
    </row>
    <row r="16" spans="1:9" x14ac:dyDescent="0.2">
      <c r="B16" s="10" t="s">
        <v>17</v>
      </c>
      <c r="C16" s="17">
        <f>'HOLIDAYS AND NOTES'!F13</f>
        <v>5173.92</v>
      </c>
    </row>
    <row r="17" spans="2:6" ht="17" thickBot="1" x14ac:dyDescent="0.25">
      <c r="B17" s="18" t="s">
        <v>19</v>
      </c>
      <c r="C17" s="79">
        <f>SUM(C14:C16)</f>
        <v>43437.501200000006</v>
      </c>
      <c r="E17" s="2">
        <f>+C17/4</f>
        <v>10859.375300000002</v>
      </c>
    </row>
    <row r="18" spans="2:6" ht="17" thickTop="1" x14ac:dyDescent="0.2">
      <c r="E18" s="2">
        <f>(53741+1800)/5</f>
        <v>11108.2</v>
      </c>
      <c r="F18" s="136">
        <f>1-(E18/E17)</f>
        <v>-2.2913353036062789E-2</v>
      </c>
    </row>
  </sheetData>
  <mergeCells count="1">
    <mergeCell ref="A7:I8"/>
  </mergeCells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C48A-64D3-B54D-8DDF-F1500835E6A5}">
  <dimension ref="A1:N58"/>
  <sheetViews>
    <sheetView zoomScale="102" zoomScaleNormal="102" workbookViewId="0">
      <selection activeCell="N30" sqref="N30"/>
    </sheetView>
  </sheetViews>
  <sheetFormatPr baseColWidth="10" defaultRowHeight="16" x14ac:dyDescent="0.2"/>
  <cols>
    <col min="1" max="1" width="22" style="2" bestFit="1" customWidth="1"/>
    <col min="2" max="2" width="20.33203125" style="2" bestFit="1" customWidth="1"/>
    <col min="3" max="3" width="19.33203125" style="2" bestFit="1" customWidth="1"/>
    <col min="4" max="4" width="22.1640625" style="2" customWidth="1"/>
    <col min="5" max="5" width="8" style="2" bestFit="1" customWidth="1"/>
    <col min="6" max="6" width="9.83203125" style="2" customWidth="1"/>
    <col min="7" max="7" width="12.5" style="2" customWidth="1"/>
    <col min="8" max="8" width="14" style="2" customWidth="1"/>
    <col min="9" max="9" width="22.1640625" style="2" bestFit="1" customWidth="1"/>
    <col min="10" max="10" width="10" style="2" customWidth="1"/>
    <col min="11" max="11" width="20.1640625" style="2" customWidth="1"/>
    <col min="12" max="12" width="21" style="2" customWidth="1"/>
    <col min="13" max="16384" width="10.83203125" style="2"/>
  </cols>
  <sheetData>
    <row r="1" spans="1:12" x14ac:dyDescent="0.2">
      <c r="A1" s="27" t="s">
        <v>0</v>
      </c>
      <c r="B1" s="27" t="s">
        <v>1</v>
      </c>
      <c r="C1" s="27" t="s">
        <v>2</v>
      </c>
      <c r="D1" s="27" t="s">
        <v>49</v>
      </c>
      <c r="E1" s="27" t="s">
        <v>54</v>
      </c>
      <c r="F1" s="27" t="s">
        <v>5</v>
      </c>
      <c r="G1" s="27" t="s">
        <v>50</v>
      </c>
      <c r="H1" s="27" t="s">
        <v>57</v>
      </c>
      <c r="I1" s="27" t="s">
        <v>132</v>
      </c>
      <c r="J1" s="27" t="s">
        <v>51</v>
      </c>
      <c r="K1" s="27" t="s">
        <v>52</v>
      </c>
      <c r="L1" s="27" t="s">
        <v>53</v>
      </c>
    </row>
    <row r="2" spans="1:12" x14ac:dyDescent="0.2">
      <c r="A2" s="4" t="s">
        <v>15</v>
      </c>
      <c r="B2" s="4" t="s">
        <v>37</v>
      </c>
      <c r="C2" s="4" t="s">
        <v>38</v>
      </c>
      <c r="D2" s="90" t="s">
        <v>11</v>
      </c>
      <c r="E2" s="91">
        <v>10.5</v>
      </c>
      <c r="F2" s="90">
        <v>160.81</v>
      </c>
      <c r="G2" s="92">
        <f>(E2*F2)+K2*F2</f>
        <v>2090.5300000000002</v>
      </c>
      <c r="H2" s="93">
        <v>150</v>
      </c>
      <c r="I2" s="94"/>
      <c r="J2" s="4"/>
      <c r="K2" s="95">
        <v>2.5</v>
      </c>
      <c r="L2" s="4"/>
    </row>
    <row r="3" spans="1:12" x14ac:dyDescent="0.2">
      <c r="A3" s="7" t="s">
        <v>88</v>
      </c>
      <c r="B3" s="66" t="s">
        <v>26</v>
      </c>
      <c r="C3" s="66" t="s">
        <v>27</v>
      </c>
      <c r="D3" s="66" t="s">
        <v>11</v>
      </c>
      <c r="E3" s="119">
        <v>11</v>
      </c>
      <c r="F3" s="66">
        <v>115.84</v>
      </c>
      <c r="G3" s="67">
        <f t="shared" ref="G3:G35" si="0">(E3*F3)+K3*F3</f>
        <v>1737.6</v>
      </c>
      <c r="H3" s="72">
        <v>100</v>
      </c>
      <c r="I3" s="8"/>
      <c r="J3" s="7"/>
      <c r="K3" s="68">
        <v>4</v>
      </c>
      <c r="L3" s="7"/>
    </row>
    <row r="4" spans="1:12" x14ac:dyDescent="0.2">
      <c r="A4" s="96" t="s">
        <v>101</v>
      </c>
      <c r="B4" s="97" t="s">
        <v>39</v>
      </c>
      <c r="C4" s="97" t="s">
        <v>40</v>
      </c>
      <c r="D4" s="90" t="s">
        <v>11</v>
      </c>
      <c r="E4" s="98">
        <v>11</v>
      </c>
      <c r="F4" s="90">
        <v>45.08</v>
      </c>
      <c r="G4" s="92">
        <f t="shared" si="0"/>
        <v>653.66</v>
      </c>
      <c r="H4" s="93">
        <v>50</v>
      </c>
      <c r="I4" s="94"/>
      <c r="J4" s="4"/>
      <c r="K4" s="95">
        <v>3.5</v>
      </c>
      <c r="L4" s="4" t="s">
        <v>116</v>
      </c>
    </row>
    <row r="5" spans="1:12" x14ac:dyDescent="0.2">
      <c r="A5" s="7" t="s">
        <v>88</v>
      </c>
      <c r="B5" s="9" t="s">
        <v>76</v>
      </c>
      <c r="C5" s="7" t="s">
        <v>77</v>
      </c>
      <c r="D5" s="66" t="s">
        <v>11</v>
      </c>
      <c r="E5" s="68">
        <v>11</v>
      </c>
      <c r="F5" s="66">
        <v>174.57</v>
      </c>
      <c r="G5" s="67">
        <f t="shared" si="0"/>
        <v>2443.98</v>
      </c>
      <c r="H5" s="8">
        <v>150</v>
      </c>
      <c r="I5" s="8"/>
      <c r="J5" s="7"/>
      <c r="K5" s="68">
        <v>3</v>
      </c>
      <c r="L5" s="8"/>
    </row>
    <row r="6" spans="1:12" x14ac:dyDescent="0.2">
      <c r="A6" s="4" t="s">
        <v>15</v>
      </c>
      <c r="B6" s="96" t="s">
        <v>56</v>
      </c>
      <c r="C6" s="4" t="s">
        <v>55</v>
      </c>
      <c r="D6" s="90" t="s">
        <v>11</v>
      </c>
      <c r="E6" s="95">
        <v>10</v>
      </c>
      <c r="F6" s="90">
        <v>141.33000000000001</v>
      </c>
      <c r="G6" s="92">
        <f t="shared" si="0"/>
        <v>1625.2950000000001</v>
      </c>
      <c r="H6" s="94">
        <v>80</v>
      </c>
      <c r="I6" s="94"/>
      <c r="J6" s="4"/>
      <c r="K6" s="95">
        <v>1.5</v>
      </c>
      <c r="L6" s="118"/>
    </row>
    <row r="7" spans="1:12" x14ac:dyDescent="0.2">
      <c r="A7" s="120" t="s">
        <v>15</v>
      </c>
      <c r="B7" s="121" t="s">
        <v>102</v>
      </c>
      <c r="C7" s="120" t="s">
        <v>103</v>
      </c>
      <c r="D7" s="66" t="s">
        <v>11</v>
      </c>
      <c r="E7" s="122">
        <v>10</v>
      </c>
      <c r="F7" s="66">
        <v>83.15</v>
      </c>
      <c r="G7" s="67">
        <f t="shared" si="0"/>
        <v>914.65</v>
      </c>
      <c r="H7" s="123"/>
      <c r="I7" s="123"/>
      <c r="J7" s="120"/>
      <c r="K7" s="122">
        <v>1</v>
      </c>
      <c r="L7" s="120"/>
    </row>
    <row r="8" spans="1:12" x14ac:dyDescent="0.2">
      <c r="A8" s="10" t="s">
        <v>15</v>
      </c>
      <c r="B8" s="99" t="s">
        <v>121</v>
      </c>
      <c r="C8" s="10" t="s">
        <v>122</v>
      </c>
      <c r="D8" s="90" t="s">
        <v>11</v>
      </c>
      <c r="E8" s="100">
        <v>8.5</v>
      </c>
      <c r="F8" s="90">
        <v>56.92</v>
      </c>
      <c r="G8" s="92">
        <f t="shared" si="0"/>
        <v>512.28</v>
      </c>
      <c r="H8" s="101"/>
      <c r="I8" s="101"/>
      <c r="J8" s="10"/>
      <c r="K8" s="100">
        <v>0.5</v>
      </c>
      <c r="L8" s="10" t="s">
        <v>138</v>
      </c>
    </row>
    <row r="9" spans="1:12" x14ac:dyDescent="0.2">
      <c r="A9" s="120" t="s">
        <v>15</v>
      </c>
      <c r="B9" s="121" t="s">
        <v>104</v>
      </c>
      <c r="C9" s="120" t="s">
        <v>105</v>
      </c>
      <c r="D9" s="66" t="s">
        <v>11</v>
      </c>
      <c r="E9" s="122">
        <v>9</v>
      </c>
      <c r="F9" s="66">
        <v>125.96</v>
      </c>
      <c r="G9" s="67">
        <f t="shared" si="0"/>
        <v>1259.5999999999999</v>
      </c>
      <c r="H9" s="123"/>
      <c r="I9" s="123"/>
      <c r="J9" s="120"/>
      <c r="K9" s="122">
        <v>1</v>
      </c>
      <c r="L9" s="120" t="s">
        <v>137</v>
      </c>
    </row>
    <row r="10" spans="1:12" x14ac:dyDescent="0.2">
      <c r="A10" s="10" t="s">
        <v>15</v>
      </c>
      <c r="B10" s="99" t="s">
        <v>119</v>
      </c>
      <c r="C10" s="10" t="s">
        <v>120</v>
      </c>
      <c r="D10" s="90" t="s">
        <v>11</v>
      </c>
      <c r="E10" s="100">
        <v>9.5</v>
      </c>
      <c r="F10" s="90">
        <v>143.47</v>
      </c>
      <c r="G10" s="92">
        <f t="shared" si="0"/>
        <v>1506.4349999999999</v>
      </c>
      <c r="H10" s="101"/>
      <c r="I10" s="101"/>
      <c r="J10" s="10"/>
      <c r="K10" s="100">
        <v>1</v>
      </c>
      <c r="L10" s="10"/>
    </row>
    <row r="11" spans="1:12" x14ac:dyDescent="0.2">
      <c r="A11" s="120" t="s">
        <v>112</v>
      </c>
      <c r="B11" s="121" t="s">
        <v>110</v>
      </c>
      <c r="C11" s="120" t="s">
        <v>111</v>
      </c>
      <c r="D11" s="66" t="s">
        <v>11</v>
      </c>
      <c r="E11" s="122">
        <v>10.42</v>
      </c>
      <c r="F11" s="66">
        <v>80</v>
      </c>
      <c r="G11" s="67">
        <f t="shared" si="0"/>
        <v>913.6</v>
      </c>
      <c r="H11" s="123">
        <v>60</v>
      </c>
      <c r="I11" s="135">
        <f>+(106.63-100)*10</f>
        <v>66.299999999999955</v>
      </c>
      <c r="J11" s="120"/>
      <c r="K11" s="122">
        <v>1</v>
      </c>
      <c r="L11" s="120"/>
    </row>
    <row r="12" spans="1:12" x14ac:dyDescent="0.2">
      <c r="A12" s="10" t="s">
        <v>15</v>
      </c>
      <c r="B12" s="99" t="s">
        <v>129</v>
      </c>
      <c r="C12" s="10" t="s">
        <v>130</v>
      </c>
      <c r="D12" s="90" t="s">
        <v>11</v>
      </c>
      <c r="E12" s="100">
        <v>8.5</v>
      </c>
      <c r="F12" s="90">
        <v>15.98</v>
      </c>
      <c r="G12" s="92">
        <f t="shared" si="0"/>
        <v>151.81</v>
      </c>
      <c r="H12" s="101"/>
      <c r="I12" s="101"/>
      <c r="J12" s="10"/>
      <c r="K12" s="100">
        <v>1</v>
      </c>
      <c r="L12" s="10" t="s">
        <v>134</v>
      </c>
    </row>
    <row r="13" spans="1:12" x14ac:dyDescent="0.2">
      <c r="A13" s="132" t="s">
        <v>131</v>
      </c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</row>
    <row r="14" spans="1:12" x14ac:dyDescent="0.2">
      <c r="A14" s="96" t="s">
        <v>28</v>
      </c>
      <c r="B14" s="97" t="s">
        <v>29</v>
      </c>
      <c r="C14" s="97" t="s">
        <v>30</v>
      </c>
      <c r="D14" s="90" t="s">
        <v>11</v>
      </c>
      <c r="E14" s="102">
        <v>10.42</v>
      </c>
      <c r="F14" s="97">
        <f>11.6+5.5</f>
        <v>17.100000000000001</v>
      </c>
      <c r="G14" s="92">
        <f t="shared" si="0"/>
        <v>178.18200000000002</v>
      </c>
      <c r="H14" s="103"/>
      <c r="I14" s="92"/>
      <c r="J14" s="4"/>
      <c r="K14" s="95"/>
      <c r="L14" s="104"/>
    </row>
    <row r="15" spans="1:12" x14ac:dyDescent="0.2">
      <c r="A15" s="7" t="s">
        <v>16</v>
      </c>
      <c r="B15" s="7" t="s">
        <v>9</v>
      </c>
      <c r="C15" s="7" t="s">
        <v>10</v>
      </c>
      <c r="D15" s="66" t="s">
        <v>11</v>
      </c>
      <c r="E15" s="116">
        <v>10.7</v>
      </c>
      <c r="F15" s="7">
        <v>74.87</v>
      </c>
      <c r="G15" s="67">
        <f t="shared" si="0"/>
        <v>801.10900000000004</v>
      </c>
      <c r="H15" s="72">
        <v>60</v>
      </c>
      <c r="I15" s="8"/>
      <c r="J15" s="7"/>
      <c r="K15" s="68"/>
      <c r="L15" s="80"/>
    </row>
    <row r="16" spans="1:12" x14ac:dyDescent="0.2">
      <c r="A16" s="96" t="s">
        <v>16</v>
      </c>
      <c r="B16" s="96" t="s">
        <v>23</v>
      </c>
      <c r="C16" s="96" t="s">
        <v>24</v>
      </c>
      <c r="D16" s="90" t="s">
        <v>11</v>
      </c>
      <c r="E16" s="102">
        <v>10.7</v>
      </c>
      <c r="F16" s="96">
        <v>213.33</v>
      </c>
      <c r="G16" s="92">
        <f t="shared" si="0"/>
        <v>2282.6309999999999</v>
      </c>
      <c r="H16" s="93">
        <v>150</v>
      </c>
      <c r="I16" s="94"/>
      <c r="J16" s="4"/>
      <c r="K16" s="95"/>
      <c r="L16" s="105"/>
    </row>
    <row r="17" spans="1:14" ht="18" customHeight="1" x14ac:dyDescent="0.2">
      <c r="A17" s="9" t="s">
        <v>20</v>
      </c>
      <c r="B17" s="69" t="s">
        <v>48</v>
      </c>
      <c r="C17" s="69" t="s">
        <v>25</v>
      </c>
      <c r="D17" s="66" t="s">
        <v>11</v>
      </c>
      <c r="E17" s="125">
        <v>10.42</v>
      </c>
      <c r="F17" s="71">
        <f>'Dumpling Bonus '!L8</f>
        <v>107.62</v>
      </c>
      <c r="G17" s="67">
        <f t="shared" si="0"/>
        <v>1121.4004</v>
      </c>
      <c r="H17" s="72"/>
      <c r="I17" s="8">
        <f>+'Dumpling Bonus '!J8</f>
        <v>146.625</v>
      </c>
      <c r="J17" s="7"/>
      <c r="K17" s="68"/>
      <c r="L17" s="81"/>
    </row>
    <row r="18" spans="1:14" x14ac:dyDescent="0.2">
      <c r="A18" s="4" t="s">
        <v>20</v>
      </c>
      <c r="B18" s="96" t="s">
        <v>13</v>
      </c>
      <c r="C18" s="96" t="s">
        <v>12</v>
      </c>
      <c r="D18" s="90" t="s">
        <v>11</v>
      </c>
      <c r="E18" s="124">
        <v>11</v>
      </c>
      <c r="F18" s="106">
        <f>'Dumpling Bonus '!L7</f>
        <v>106.47</v>
      </c>
      <c r="G18" s="92">
        <f t="shared" si="0"/>
        <v>1277.6400000000001</v>
      </c>
      <c r="H18" s="107"/>
      <c r="I18" s="107"/>
      <c r="J18" s="4"/>
      <c r="K18" s="95">
        <v>1</v>
      </c>
      <c r="L18" s="104"/>
    </row>
    <row r="19" spans="1:14" ht="15" customHeight="1" x14ac:dyDescent="0.2">
      <c r="A19" s="7" t="s">
        <v>20</v>
      </c>
      <c r="B19" s="9" t="s">
        <v>73</v>
      </c>
      <c r="C19" s="9" t="s">
        <v>74</v>
      </c>
      <c r="D19" s="66" t="s">
        <v>11</v>
      </c>
      <c r="E19" s="70">
        <v>10.42</v>
      </c>
      <c r="F19" s="71">
        <v>163.03</v>
      </c>
      <c r="G19" s="67">
        <f t="shared" si="0"/>
        <v>1698.7726</v>
      </c>
      <c r="H19" s="73"/>
      <c r="I19" s="73"/>
      <c r="J19" s="7"/>
      <c r="K19" s="68"/>
      <c r="L19" s="81"/>
    </row>
    <row r="20" spans="1:14" x14ac:dyDescent="0.2">
      <c r="A20" s="4" t="s">
        <v>31</v>
      </c>
      <c r="B20" s="4" t="s">
        <v>33</v>
      </c>
      <c r="C20" s="4" t="s">
        <v>34</v>
      </c>
      <c r="D20" s="90" t="s">
        <v>11</v>
      </c>
      <c r="E20" s="102">
        <v>10</v>
      </c>
      <c r="F20" s="4">
        <v>124.71</v>
      </c>
      <c r="G20" s="92">
        <f t="shared" si="0"/>
        <v>1371.81</v>
      </c>
      <c r="H20" s="94">
        <v>80</v>
      </c>
      <c r="I20" s="94"/>
      <c r="J20" s="4"/>
      <c r="K20" s="95">
        <v>1</v>
      </c>
      <c r="L20" s="105"/>
    </row>
    <row r="21" spans="1:14" x14ac:dyDescent="0.2">
      <c r="A21" s="7" t="s">
        <v>43</v>
      </c>
      <c r="B21" s="7" t="s">
        <v>36</v>
      </c>
      <c r="C21" s="7" t="s">
        <v>35</v>
      </c>
      <c r="D21" s="66" t="s">
        <v>11</v>
      </c>
      <c r="E21" s="70">
        <v>10.42</v>
      </c>
      <c r="F21" s="117">
        <f>16*4</f>
        <v>64</v>
      </c>
      <c r="G21" s="67">
        <f t="shared" si="0"/>
        <v>858.88</v>
      </c>
      <c r="H21" s="8"/>
      <c r="I21" s="8"/>
      <c r="J21" s="7"/>
      <c r="K21" s="68">
        <v>3</v>
      </c>
      <c r="L21" s="81"/>
    </row>
    <row r="22" spans="1:14" x14ac:dyDescent="0.2">
      <c r="A22" s="4" t="s">
        <v>43</v>
      </c>
      <c r="B22" s="4" t="s">
        <v>41</v>
      </c>
      <c r="C22" s="4" t="s">
        <v>42</v>
      </c>
      <c r="D22" s="90" t="s">
        <v>11</v>
      </c>
      <c r="E22" s="102">
        <v>9</v>
      </c>
      <c r="F22" s="4">
        <v>78.599999999999994</v>
      </c>
      <c r="G22" s="92">
        <f t="shared" si="0"/>
        <v>746.69999999999993</v>
      </c>
      <c r="H22" s="94"/>
      <c r="I22" s="94"/>
      <c r="J22" s="4"/>
      <c r="K22" s="95">
        <v>0.5</v>
      </c>
      <c r="L22" s="105"/>
    </row>
    <row r="23" spans="1:14" x14ac:dyDescent="0.2">
      <c r="A23" s="7" t="s">
        <v>43</v>
      </c>
      <c r="B23" s="9" t="s">
        <v>46</v>
      </c>
      <c r="C23" s="7" t="s">
        <v>47</v>
      </c>
      <c r="D23" s="66" t="s">
        <v>11</v>
      </c>
      <c r="E23" s="8">
        <v>8.5</v>
      </c>
      <c r="F23" s="74">
        <v>113.12</v>
      </c>
      <c r="G23" s="67">
        <f t="shared" si="0"/>
        <v>1018.0799999999999</v>
      </c>
      <c r="H23" s="8"/>
      <c r="I23" s="8"/>
      <c r="J23" s="7"/>
      <c r="K23" s="68">
        <v>0.5</v>
      </c>
      <c r="L23" s="81"/>
    </row>
    <row r="24" spans="1:14" ht="17" customHeight="1" x14ac:dyDescent="0.2">
      <c r="A24" s="4" t="s">
        <v>43</v>
      </c>
      <c r="B24" s="96" t="s">
        <v>78</v>
      </c>
      <c r="C24" s="4" t="s">
        <v>79</v>
      </c>
      <c r="D24" s="90" t="s">
        <v>11</v>
      </c>
      <c r="E24" s="94">
        <v>9</v>
      </c>
      <c r="F24" s="108">
        <v>93.17</v>
      </c>
      <c r="G24" s="92">
        <f t="shared" si="0"/>
        <v>931.69999999999993</v>
      </c>
      <c r="H24" s="94"/>
      <c r="I24" s="94"/>
      <c r="J24" s="4"/>
      <c r="K24" s="95">
        <v>1</v>
      </c>
      <c r="L24" s="104"/>
    </row>
    <row r="25" spans="1:14" x14ac:dyDescent="0.2">
      <c r="A25" s="7" t="s">
        <v>117</v>
      </c>
      <c r="B25" s="9" t="s">
        <v>81</v>
      </c>
      <c r="C25" s="7" t="s">
        <v>80</v>
      </c>
      <c r="D25" s="66" t="s">
        <v>11</v>
      </c>
      <c r="E25" s="8">
        <v>10.42</v>
      </c>
      <c r="F25" s="74">
        <v>17.41</v>
      </c>
      <c r="G25" s="67">
        <f t="shared" si="0"/>
        <v>198.82220000000001</v>
      </c>
      <c r="H25" s="130"/>
      <c r="I25" s="126"/>
      <c r="J25" s="7"/>
      <c r="K25" s="68">
        <v>1</v>
      </c>
      <c r="L25" s="81"/>
    </row>
    <row r="26" spans="1:14" x14ac:dyDescent="0.2">
      <c r="A26" s="4" t="s">
        <v>20</v>
      </c>
      <c r="B26" s="96" t="s">
        <v>82</v>
      </c>
      <c r="C26" s="4" t="s">
        <v>83</v>
      </c>
      <c r="D26" s="90" t="s">
        <v>11</v>
      </c>
      <c r="E26" s="94">
        <v>10.42</v>
      </c>
      <c r="F26" s="108">
        <v>60.92</v>
      </c>
      <c r="G26" s="92">
        <f t="shared" si="0"/>
        <v>634.78639999999996</v>
      </c>
      <c r="H26" s="94">
        <v>80</v>
      </c>
      <c r="I26" s="94" t="s">
        <v>118</v>
      </c>
      <c r="J26" s="4"/>
      <c r="K26" s="95"/>
      <c r="L26" s="104"/>
    </row>
    <row r="27" spans="1:14" x14ac:dyDescent="0.2">
      <c r="A27" s="7" t="s">
        <v>20</v>
      </c>
      <c r="B27" s="9" t="s">
        <v>128</v>
      </c>
      <c r="C27" s="7" t="s">
        <v>98</v>
      </c>
      <c r="D27" s="66" t="s">
        <v>11</v>
      </c>
      <c r="E27" s="8">
        <v>10.42</v>
      </c>
      <c r="F27" s="74">
        <v>47.22</v>
      </c>
      <c r="G27" s="67">
        <f t="shared" si="0"/>
        <v>492.0324</v>
      </c>
      <c r="H27" s="8">
        <v>50</v>
      </c>
      <c r="I27" s="8"/>
      <c r="J27" s="7"/>
      <c r="K27" s="68"/>
      <c r="L27" s="81"/>
    </row>
    <row r="28" spans="1:14" x14ac:dyDescent="0.2">
      <c r="A28" s="4" t="s">
        <v>43</v>
      </c>
      <c r="B28" s="96" t="s">
        <v>92</v>
      </c>
      <c r="C28" s="4" t="s">
        <v>90</v>
      </c>
      <c r="D28" s="90" t="s">
        <v>11</v>
      </c>
      <c r="E28" s="94">
        <v>10.42</v>
      </c>
      <c r="F28" s="108">
        <v>0</v>
      </c>
      <c r="G28" s="92">
        <f t="shared" si="0"/>
        <v>0</v>
      </c>
      <c r="H28" s="94"/>
      <c r="I28" s="94"/>
      <c r="J28" s="4"/>
      <c r="K28" s="95">
        <v>2</v>
      </c>
      <c r="L28" s="104" t="s">
        <v>136</v>
      </c>
    </row>
    <row r="29" spans="1:14" x14ac:dyDescent="0.2">
      <c r="A29" s="7" t="s">
        <v>43</v>
      </c>
      <c r="B29" s="9" t="s">
        <v>93</v>
      </c>
      <c r="C29" s="7" t="s">
        <v>91</v>
      </c>
      <c r="D29" s="66" t="s">
        <v>11</v>
      </c>
      <c r="E29" s="8">
        <v>10.42</v>
      </c>
      <c r="F29" s="74">
        <f>55.71+20</f>
        <v>75.710000000000008</v>
      </c>
      <c r="G29" s="67">
        <f t="shared" si="0"/>
        <v>940.31820000000016</v>
      </c>
      <c r="H29" s="8"/>
      <c r="I29" s="8"/>
      <c r="J29" s="7"/>
      <c r="K29" s="68">
        <v>2</v>
      </c>
      <c r="L29" s="81"/>
      <c r="M29" s="2">
        <f>+K29*F29</f>
        <v>151.42000000000002</v>
      </c>
      <c r="N29" s="55">
        <f>+M29+G29</f>
        <v>1091.7382000000002</v>
      </c>
    </row>
    <row r="30" spans="1:14" x14ac:dyDescent="0.2">
      <c r="A30" s="109" t="s">
        <v>43</v>
      </c>
      <c r="B30" s="110" t="s">
        <v>96</v>
      </c>
      <c r="C30" s="110" t="s">
        <v>97</v>
      </c>
      <c r="D30" s="111" t="s">
        <v>11</v>
      </c>
      <c r="E30" s="112">
        <v>10.42</v>
      </c>
      <c r="F30" s="113">
        <v>140.88</v>
      </c>
      <c r="G30" s="92">
        <f t="shared" si="0"/>
        <v>1608.8496</v>
      </c>
      <c r="H30" s="112"/>
      <c r="I30" s="112"/>
      <c r="J30" s="110"/>
      <c r="K30" s="114">
        <v>1</v>
      </c>
      <c r="L30" s="115"/>
    </row>
    <row r="31" spans="1:14" x14ac:dyDescent="0.2">
      <c r="A31" s="89" t="s">
        <v>109</v>
      </c>
      <c r="B31" s="9" t="s">
        <v>99</v>
      </c>
      <c r="C31" s="7" t="s">
        <v>100</v>
      </c>
      <c r="D31" s="66" t="s">
        <v>11</v>
      </c>
      <c r="E31" s="8">
        <f>10.7+1.8</f>
        <v>12.5</v>
      </c>
      <c r="F31" s="74">
        <v>164.07</v>
      </c>
      <c r="G31" s="67">
        <f t="shared" si="0"/>
        <v>2214.9450000000002</v>
      </c>
      <c r="H31" s="8">
        <v>80</v>
      </c>
      <c r="I31" s="8"/>
      <c r="J31" s="7"/>
      <c r="K31" s="68">
        <v>1</v>
      </c>
      <c r="L31" s="80"/>
    </row>
    <row r="32" spans="1:14" x14ac:dyDescent="0.2">
      <c r="A32" s="4" t="s">
        <v>43</v>
      </c>
      <c r="B32" s="96" t="s">
        <v>106</v>
      </c>
      <c r="C32" s="4" t="s">
        <v>107</v>
      </c>
      <c r="D32" s="90" t="s">
        <v>11</v>
      </c>
      <c r="E32" s="94">
        <v>10.42</v>
      </c>
      <c r="F32" s="108">
        <v>64.61</v>
      </c>
      <c r="G32" s="92">
        <f t="shared" si="0"/>
        <v>770.1511999999999</v>
      </c>
      <c r="H32" s="94"/>
      <c r="I32" s="94"/>
      <c r="J32" s="4"/>
      <c r="K32" s="95">
        <v>1.5</v>
      </c>
      <c r="L32" s="104"/>
    </row>
    <row r="33" spans="1:12" x14ac:dyDescent="0.2">
      <c r="A33" s="7" t="s">
        <v>43</v>
      </c>
      <c r="B33" s="9" t="s">
        <v>44</v>
      </c>
      <c r="C33" s="7" t="s">
        <v>95</v>
      </c>
      <c r="D33" s="66" t="s">
        <v>11</v>
      </c>
      <c r="E33" s="8">
        <v>10.7</v>
      </c>
      <c r="F33" s="74">
        <v>130.24</v>
      </c>
      <c r="G33" s="67">
        <f t="shared" si="0"/>
        <v>1654.048</v>
      </c>
      <c r="H33" s="8">
        <v>150</v>
      </c>
      <c r="I33" s="8"/>
      <c r="J33" s="7"/>
      <c r="K33" s="68">
        <v>2</v>
      </c>
      <c r="L33" s="80"/>
    </row>
    <row r="34" spans="1:12" x14ac:dyDescent="0.2">
      <c r="A34" s="4" t="s">
        <v>43</v>
      </c>
      <c r="B34" s="96" t="s">
        <v>123</v>
      </c>
      <c r="C34" s="4" t="s">
        <v>124</v>
      </c>
      <c r="D34" s="90" t="s">
        <v>11</v>
      </c>
      <c r="E34" s="94">
        <v>10.42</v>
      </c>
      <c r="F34" s="108">
        <f>197.41+3</f>
        <v>200.41</v>
      </c>
      <c r="G34" s="92">
        <f t="shared" si="0"/>
        <v>2388.8872000000001</v>
      </c>
      <c r="H34" s="94"/>
      <c r="I34" s="94"/>
      <c r="J34" s="4"/>
      <c r="K34" s="95">
        <v>1.5</v>
      </c>
      <c r="L34" s="105"/>
    </row>
    <row r="35" spans="1:12" x14ac:dyDescent="0.2">
      <c r="A35" s="7" t="s">
        <v>43</v>
      </c>
      <c r="B35" s="120" t="s">
        <v>115</v>
      </c>
      <c r="C35" s="7"/>
      <c r="D35" s="66" t="s">
        <v>11</v>
      </c>
      <c r="E35" s="8">
        <v>10.42</v>
      </c>
      <c r="F35" s="74">
        <v>53.8</v>
      </c>
      <c r="G35" s="67">
        <f t="shared" si="0"/>
        <v>614.39599999999996</v>
      </c>
      <c r="H35" s="8"/>
      <c r="I35" s="8"/>
      <c r="J35" s="7"/>
      <c r="K35" s="68">
        <v>1</v>
      </c>
      <c r="L35" s="81" t="s">
        <v>116</v>
      </c>
    </row>
    <row r="36" spans="1:12" ht="17" thickBot="1" x14ac:dyDescent="0.25">
      <c r="A36" s="18"/>
      <c r="B36" s="82"/>
      <c r="C36" s="18"/>
      <c r="D36" s="83"/>
      <c r="E36" s="84"/>
      <c r="F36" s="85"/>
      <c r="G36" s="86">
        <f>SUM(G2:G35)</f>
        <v>37613.581200000008</v>
      </c>
      <c r="H36" s="86">
        <f>SUM(H14:H35)</f>
        <v>650</v>
      </c>
      <c r="I36" s="87">
        <f>SUM(I17:I19)</f>
        <v>146.625</v>
      </c>
      <c r="J36" s="18"/>
      <c r="K36" s="88"/>
      <c r="L36" s="18"/>
    </row>
    <row r="37" spans="1:12" ht="17" thickTop="1" x14ac:dyDescent="0.2"/>
    <row r="43" spans="1:12" x14ac:dyDescent="0.2">
      <c r="I43" s="2" t="e" cm="1">
        <f t="array" ref="I43">5*tr</f>
        <v>#NAME?</v>
      </c>
    </row>
    <row r="58" spans="3:3" x14ac:dyDescent="0.2">
      <c r="C58" s="2">
        <f>2*3</f>
        <v>6</v>
      </c>
    </row>
  </sheetData>
  <mergeCells count="1">
    <mergeCell ref="A13:L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5"/>
  <sheetViews>
    <sheetView workbookViewId="0">
      <selection activeCell="G8" sqref="G8"/>
    </sheetView>
  </sheetViews>
  <sheetFormatPr baseColWidth="10" defaultColWidth="8.83203125" defaultRowHeight="16" x14ac:dyDescent="0.2"/>
  <cols>
    <col min="1" max="1" width="18.1640625" style="2" customWidth="1"/>
    <col min="2" max="2" width="15.5" style="2" bestFit="1" customWidth="1"/>
    <col min="3" max="3" width="22.6640625" style="2" bestFit="1" customWidth="1"/>
    <col min="4" max="4" width="13.5" style="2" bestFit="1" customWidth="1"/>
    <col min="5" max="5" width="11.5" style="2" bestFit="1" customWidth="1"/>
    <col min="6" max="6" width="11.33203125" style="2" customWidth="1"/>
    <col min="7" max="255" width="11" style="2" customWidth="1"/>
    <col min="256" max="16384" width="8.83203125" style="2"/>
  </cols>
  <sheetData>
    <row r="1" spans="1:9" x14ac:dyDescent="0.2">
      <c r="C1" s="2" t="str">
        <f>+SUMMARY!A7</f>
        <v>PAYROLL  27 th of  March to 23 of April  UGLY DUMPLING  TEAM</v>
      </c>
    </row>
    <row r="3" spans="1:9" x14ac:dyDescent="0.2">
      <c r="A3" s="133" t="s">
        <v>6</v>
      </c>
      <c r="B3" s="133"/>
      <c r="C3" s="133"/>
      <c r="D3" s="133"/>
      <c r="E3" s="133"/>
      <c r="F3" s="133"/>
      <c r="G3" s="133"/>
    </row>
    <row r="4" spans="1:9" ht="24" x14ac:dyDescent="0.3">
      <c r="A4" s="134"/>
      <c r="B4" s="134"/>
      <c r="C4" s="134"/>
      <c r="D4" s="134"/>
      <c r="E4" s="134"/>
      <c r="F4" s="134"/>
      <c r="G4" s="134"/>
    </row>
    <row r="5" spans="1:9" x14ac:dyDescent="0.2">
      <c r="A5" s="78" t="s">
        <v>1</v>
      </c>
      <c r="B5" s="78" t="s">
        <v>2</v>
      </c>
      <c r="C5" s="78" t="s">
        <v>3</v>
      </c>
      <c r="D5" s="78" t="s">
        <v>4</v>
      </c>
      <c r="E5" s="78" t="s">
        <v>5</v>
      </c>
      <c r="F5" s="78" t="s">
        <v>7</v>
      </c>
      <c r="G5" s="78" t="s">
        <v>87</v>
      </c>
    </row>
    <row r="6" spans="1:9" x14ac:dyDescent="0.2">
      <c r="A6" s="22" t="s">
        <v>9</v>
      </c>
      <c r="B6" s="11"/>
      <c r="C6" s="11"/>
      <c r="D6" s="75"/>
      <c r="E6" s="20"/>
      <c r="F6" s="76">
        <f>11*(9*8)</f>
        <v>792</v>
      </c>
      <c r="G6" s="128"/>
    </row>
    <row r="7" spans="1:9" x14ac:dyDescent="0.2">
      <c r="A7" s="22" t="s">
        <v>92</v>
      </c>
      <c r="B7" s="11"/>
      <c r="C7" s="11"/>
      <c r="D7" s="75"/>
      <c r="E7" s="20"/>
      <c r="F7" s="76">
        <f>10*8*8</f>
        <v>640</v>
      </c>
      <c r="G7" s="128"/>
    </row>
    <row r="8" spans="1:9" x14ac:dyDescent="0.2">
      <c r="A8" s="22" t="s">
        <v>133</v>
      </c>
      <c r="B8" s="11"/>
      <c r="C8" s="11"/>
      <c r="D8" s="75"/>
      <c r="E8" s="20"/>
      <c r="F8" s="76">
        <f>10.42*22*8</f>
        <v>1833.92</v>
      </c>
      <c r="G8" s="128"/>
    </row>
    <row r="9" spans="1:9" x14ac:dyDescent="0.2">
      <c r="A9" s="22" t="s">
        <v>102</v>
      </c>
      <c r="B9" s="11"/>
      <c r="C9" s="11"/>
      <c r="D9" s="75"/>
      <c r="E9" s="20"/>
      <c r="F9" s="76">
        <f>10*5*8</f>
        <v>400</v>
      </c>
      <c r="G9" s="128"/>
    </row>
    <row r="10" spans="1:9" x14ac:dyDescent="0.2">
      <c r="A10" s="22" t="s">
        <v>135</v>
      </c>
      <c r="B10" s="11"/>
      <c r="C10" s="11"/>
      <c r="D10" s="75"/>
      <c r="E10" s="20"/>
      <c r="F10" s="76">
        <f>11*6*8</f>
        <v>528</v>
      </c>
      <c r="G10" s="128"/>
    </row>
    <row r="11" spans="1:9" x14ac:dyDescent="0.2">
      <c r="A11" s="22" t="s">
        <v>139</v>
      </c>
      <c r="B11" s="11"/>
      <c r="C11" s="11"/>
      <c r="D11" s="75"/>
      <c r="E11" s="20"/>
      <c r="F11" s="76">
        <v>500</v>
      </c>
      <c r="G11" s="128" t="s">
        <v>140</v>
      </c>
    </row>
    <row r="12" spans="1:9" x14ac:dyDescent="0.2">
      <c r="A12" s="22" t="s">
        <v>115</v>
      </c>
      <c r="B12" s="11"/>
      <c r="C12" s="11"/>
      <c r="D12" s="75"/>
      <c r="E12" s="20"/>
      <c r="F12" s="76">
        <f>10*6*8</f>
        <v>480</v>
      </c>
      <c r="G12" s="11"/>
    </row>
    <row r="13" spans="1:9" ht="17" thickBot="1" x14ac:dyDescent="0.25">
      <c r="A13" s="5" t="s">
        <v>7</v>
      </c>
      <c r="B13" s="6"/>
      <c r="C13" s="6"/>
      <c r="D13" s="6"/>
      <c r="E13" s="6"/>
      <c r="F13" s="129">
        <f>+SUM(F6:F12)</f>
        <v>5173.92</v>
      </c>
      <c r="G13" s="77">
        <f>G6+G7+G8</f>
        <v>0</v>
      </c>
    </row>
    <row r="14" spans="1:9" ht="17" thickTop="1" x14ac:dyDescent="0.2">
      <c r="A14" s="14"/>
      <c r="B14" s="12"/>
      <c r="C14" s="12"/>
      <c r="D14" s="12"/>
      <c r="E14" s="12"/>
      <c r="F14" s="15"/>
      <c r="G14" s="3"/>
    </row>
    <row r="15" spans="1:9" x14ac:dyDescent="0.2">
      <c r="A15" s="133"/>
      <c r="B15" s="133"/>
      <c r="C15" s="133"/>
      <c r="D15" s="133"/>
      <c r="E15" s="133"/>
      <c r="F15" s="133"/>
      <c r="G15" s="133"/>
      <c r="H15" s="4"/>
      <c r="I15" s="3"/>
    </row>
  </sheetData>
  <mergeCells count="3">
    <mergeCell ref="A15:G15"/>
    <mergeCell ref="A4:G4"/>
    <mergeCell ref="A3:G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L26"/>
  <sheetViews>
    <sheetView zoomScale="120" zoomScaleNormal="120" workbookViewId="0">
      <selection activeCell="B1" sqref="B1"/>
    </sheetView>
  </sheetViews>
  <sheetFormatPr baseColWidth="10" defaultColWidth="9" defaultRowHeight="16" x14ac:dyDescent="0.2"/>
  <cols>
    <col min="1" max="1" width="27.33203125" style="2" bestFit="1" customWidth="1"/>
    <col min="2" max="2" width="48" style="2" bestFit="1" customWidth="1"/>
    <col min="3" max="3" width="10.83203125" style="2" bestFit="1" customWidth="1"/>
    <col min="4" max="4" width="9" style="2"/>
    <col min="5" max="5" width="14.83203125" style="2" bestFit="1" customWidth="1"/>
    <col min="6" max="6" width="10.83203125" style="2" bestFit="1" customWidth="1"/>
    <col min="7" max="7" width="12.5" style="2" bestFit="1" customWidth="1"/>
    <col min="8" max="8" width="14.1640625" style="2" bestFit="1" customWidth="1"/>
    <col min="9" max="9" width="17.33203125" style="2" bestFit="1" customWidth="1"/>
    <col min="10" max="10" width="19.83203125" style="2" bestFit="1" customWidth="1"/>
    <col min="11" max="11" width="12.1640625" style="2" bestFit="1" customWidth="1"/>
    <col min="12" max="16384" width="9" style="2"/>
  </cols>
  <sheetData>
    <row r="1" spans="1:12" x14ac:dyDescent="0.2">
      <c r="B1" s="2" t="str">
        <f>+SUMMARY!A7</f>
        <v>PAYROLL  27 th of  March to 23 of April  UGLY DUMPLING  TEAM</v>
      </c>
    </row>
    <row r="2" spans="1:12" x14ac:dyDescent="0.2">
      <c r="A2" s="25" t="s">
        <v>14</v>
      </c>
      <c r="B2" s="25"/>
    </row>
    <row r="4" spans="1:12" x14ac:dyDescent="0.2">
      <c r="A4" s="36"/>
      <c r="B4" s="37"/>
      <c r="C4" s="38"/>
      <c r="D4" s="38"/>
      <c r="E4" s="38"/>
      <c r="F4" s="38"/>
      <c r="G4" s="38"/>
      <c r="H4" s="38"/>
      <c r="I4" s="38"/>
      <c r="J4" s="38"/>
      <c r="K4" s="38"/>
      <c r="L4" s="39"/>
    </row>
    <row r="5" spans="1:12" x14ac:dyDescent="0.2">
      <c r="A5" s="36"/>
      <c r="B5" s="37"/>
      <c r="C5" s="38"/>
      <c r="D5" s="38"/>
      <c r="E5" s="38"/>
      <c r="F5" s="38"/>
      <c r="G5" s="38"/>
      <c r="H5" s="38"/>
      <c r="I5" s="38"/>
      <c r="J5" s="38"/>
      <c r="K5" s="38"/>
      <c r="L5" s="39"/>
    </row>
    <row r="6" spans="1:12" x14ac:dyDescent="0.2">
      <c r="A6" s="36"/>
      <c r="B6" s="37"/>
      <c r="C6" s="38"/>
      <c r="D6" s="38"/>
      <c r="E6" s="38"/>
      <c r="F6" s="38"/>
      <c r="G6" s="38"/>
      <c r="H6" s="38"/>
      <c r="I6" s="38"/>
      <c r="J6" s="38"/>
      <c r="K6" s="38"/>
      <c r="L6" s="39"/>
    </row>
    <row r="7" spans="1:12" x14ac:dyDescent="0.2">
      <c r="A7" s="36"/>
      <c r="B7" s="38"/>
      <c r="C7" s="38"/>
      <c r="D7" s="38"/>
      <c r="E7" s="38"/>
      <c r="F7" s="38"/>
      <c r="G7" s="38"/>
      <c r="H7" s="38"/>
      <c r="I7" s="38"/>
      <c r="J7" s="38"/>
      <c r="K7" s="38"/>
      <c r="L7" s="39"/>
    </row>
    <row r="8" spans="1:12" x14ac:dyDescent="0.2">
      <c r="A8" s="36"/>
      <c r="B8" s="38"/>
      <c r="C8" s="38"/>
      <c r="D8" s="38"/>
      <c r="E8" s="38"/>
      <c r="F8" s="38"/>
      <c r="G8" s="38"/>
      <c r="H8" s="38"/>
      <c r="I8" s="38"/>
      <c r="J8" s="38"/>
      <c r="K8" s="38"/>
      <c r="L8" s="39"/>
    </row>
    <row r="9" spans="1:12" x14ac:dyDescent="0.2">
      <c r="A9" s="36"/>
      <c r="B9" s="38"/>
      <c r="C9" s="38"/>
      <c r="D9" s="38"/>
      <c r="E9" s="38"/>
      <c r="F9" s="38"/>
      <c r="G9" s="38"/>
      <c r="H9" s="38"/>
      <c r="I9" s="38"/>
      <c r="J9" s="38"/>
      <c r="K9" s="38"/>
      <c r="L9" s="39"/>
    </row>
    <row r="10" spans="1:12" x14ac:dyDescent="0.2">
      <c r="A10" s="36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9"/>
    </row>
    <row r="11" spans="1:12" s="42" customFormat="1" ht="20" customHeight="1" x14ac:dyDescent="0.25">
      <c r="A11" s="40"/>
      <c r="B11" s="54" t="s">
        <v>94</v>
      </c>
      <c r="C11" s="54" t="s">
        <v>85</v>
      </c>
      <c r="D11" s="54"/>
      <c r="E11" s="54" t="s">
        <v>113</v>
      </c>
      <c r="F11" s="54" t="s">
        <v>21</v>
      </c>
      <c r="G11" s="54" t="s">
        <v>22</v>
      </c>
      <c r="H11" s="54" t="s">
        <v>89</v>
      </c>
      <c r="I11" s="54" t="s">
        <v>32</v>
      </c>
      <c r="J11" s="54" t="s">
        <v>45</v>
      </c>
      <c r="K11" s="54" t="s">
        <v>84</v>
      </c>
      <c r="L11" s="41"/>
    </row>
    <row r="12" spans="1:12" x14ac:dyDescent="0.2">
      <c r="A12" s="43"/>
      <c r="B12" s="61"/>
      <c r="C12" s="44"/>
      <c r="D12" s="44"/>
      <c r="E12" s="53"/>
      <c r="F12" s="45"/>
      <c r="G12" s="46"/>
      <c r="H12" s="47"/>
      <c r="I12" s="28"/>
      <c r="J12" s="28"/>
      <c r="K12" s="28"/>
      <c r="L12" s="48"/>
    </row>
    <row r="13" spans="1:12" x14ac:dyDescent="0.2">
      <c r="A13" s="43"/>
      <c r="B13" s="63"/>
      <c r="C13" s="31"/>
      <c r="D13" s="31"/>
      <c r="E13" s="35"/>
      <c r="F13" s="34"/>
      <c r="G13" s="32"/>
      <c r="H13" s="33"/>
      <c r="I13" s="29"/>
      <c r="J13" s="29"/>
      <c r="K13" s="29"/>
      <c r="L13" s="48"/>
    </row>
    <row r="14" spans="1:12" x14ac:dyDescent="0.2">
      <c r="A14" s="43"/>
      <c r="B14" s="61"/>
      <c r="C14" s="44"/>
      <c r="D14" s="44"/>
      <c r="E14" s="50"/>
      <c r="F14" s="49"/>
      <c r="G14" s="46"/>
      <c r="H14" s="47"/>
      <c r="I14" s="28"/>
      <c r="J14" s="28"/>
      <c r="K14" s="28"/>
      <c r="L14" s="48"/>
    </row>
    <row r="15" spans="1:12" x14ac:dyDescent="0.2">
      <c r="A15" s="43"/>
      <c r="B15" s="63"/>
      <c r="C15" s="31"/>
      <c r="D15" s="31"/>
      <c r="E15" s="35"/>
      <c r="F15" s="34"/>
      <c r="G15" s="32"/>
      <c r="H15" s="33"/>
      <c r="I15" s="29"/>
      <c r="J15" s="29"/>
      <c r="K15" s="29"/>
      <c r="L15" s="48"/>
    </row>
    <row r="16" spans="1:12" x14ac:dyDescent="0.2">
      <c r="A16" s="43"/>
      <c r="B16" s="61"/>
      <c r="D16" s="44"/>
      <c r="E16" s="47"/>
      <c r="F16" s="57"/>
      <c r="G16" s="46"/>
      <c r="H16" s="47"/>
      <c r="I16" s="28"/>
      <c r="J16" s="28"/>
      <c r="K16" s="28"/>
      <c r="L16" s="48"/>
    </row>
    <row r="17" spans="1:12" x14ac:dyDescent="0.2">
      <c r="A17" s="36"/>
      <c r="B17" s="63"/>
      <c r="C17" s="31"/>
      <c r="D17" s="31"/>
      <c r="E17" s="35"/>
      <c r="F17" s="34"/>
      <c r="G17" s="32"/>
      <c r="H17" s="33"/>
      <c r="I17" s="29"/>
      <c r="J17" s="29"/>
      <c r="K17" s="29"/>
      <c r="L17" s="48"/>
    </row>
    <row r="18" spans="1:12" x14ac:dyDescent="0.2">
      <c r="A18" s="38"/>
      <c r="B18" s="61"/>
      <c r="C18" s="44"/>
      <c r="D18" s="52"/>
      <c r="E18" s="53"/>
      <c r="F18" s="45"/>
      <c r="G18" s="46"/>
      <c r="H18" s="47"/>
      <c r="I18" s="28"/>
      <c r="J18" s="60"/>
      <c r="K18" s="28"/>
      <c r="L18" s="48"/>
    </row>
    <row r="19" spans="1:12" x14ac:dyDescent="0.2">
      <c r="A19" s="36"/>
      <c r="B19" s="63"/>
      <c r="C19" s="31"/>
      <c r="D19" s="31"/>
      <c r="E19" s="35"/>
      <c r="F19" s="34"/>
      <c r="G19" s="32"/>
      <c r="H19" s="29"/>
      <c r="I19" s="29"/>
      <c r="J19" s="29"/>
      <c r="K19" s="29"/>
      <c r="L19" s="48"/>
    </row>
    <row r="20" spans="1:12" x14ac:dyDescent="0.2">
      <c r="A20" s="36"/>
      <c r="B20" s="61"/>
      <c r="C20" s="44"/>
      <c r="D20" s="44"/>
      <c r="E20" s="50"/>
      <c r="F20" s="49"/>
      <c r="G20" s="46"/>
      <c r="H20" s="28"/>
      <c r="I20" s="28"/>
      <c r="J20" s="28"/>
      <c r="K20" s="28"/>
      <c r="L20" s="48"/>
    </row>
    <row r="21" spans="1:12" x14ac:dyDescent="0.2">
      <c r="A21" s="38"/>
      <c r="B21" s="63"/>
      <c r="C21" s="31"/>
      <c r="D21" s="31"/>
      <c r="E21" s="35"/>
      <c r="F21" s="34"/>
      <c r="G21" s="1"/>
      <c r="H21" s="29"/>
      <c r="I21" s="29"/>
      <c r="J21" s="29"/>
      <c r="K21" s="29"/>
      <c r="L21" s="28"/>
    </row>
    <row r="22" spans="1:12" x14ac:dyDescent="0.2">
      <c r="A22" s="38"/>
      <c r="B22" s="61"/>
      <c r="C22" s="38"/>
      <c r="D22" s="38"/>
      <c r="E22" s="58"/>
      <c r="F22" s="59"/>
      <c r="H22" s="38"/>
      <c r="I22" s="38"/>
      <c r="J22" s="38"/>
      <c r="K22" s="38"/>
      <c r="L22" s="38"/>
    </row>
    <row r="23" spans="1:12" x14ac:dyDescent="0.2">
      <c r="B23" s="64"/>
      <c r="C23" s="16"/>
      <c r="D23" s="16"/>
      <c r="E23" s="65"/>
      <c r="F23" s="65"/>
      <c r="G23" s="16"/>
      <c r="H23" s="16"/>
      <c r="I23" s="16"/>
      <c r="J23" s="16"/>
      <c r="K23" s="16"/>
    </row>
    <row r="24" spans="1:12" x14ac:dyDescent="0.2">
      <c r="B24" s="62"/>
      <c r="E24" s="51"/>
      <c r="F24" s="57"/>
    </row>
    <row r="25" spans="1:12" x14ac:dyDescent="0.2">
      <c r="B25" s="64"/>
      <c r="C25" s="16"/>
      <c r="D25" s="16"/>
      <c r="E25" s="65"/>
      <c r="F25" s="65"/>
      <c r="G25" s="16"/>
      <c r="H25" s="16"/>
      <c r="I25" s="16"/>
      <c r="J25" s="16"/>
      <c r="K25" s="16"/>
    </row>
    <row r="26" spans="1:12" x14ac:dyDescent="0.2">
      <c r="B26" s="62"/>
      <c r="E26" s="57"/>
      <c r="F26" s="57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L31"/>
  <sheetViews>
    <sheetView topLeftCell="A4" workbookViewId="0">
      <selection activeCell="C10" sqref="C10"/>
    </sheetView>
  </sheetViews>
  <sheetFormatPr baseColWidth="10" defaultRowHeight="16" x14ac:dyDescent="0.2"/>
  <cols>
    <col min="1" max="1" width="17.6640625" style="2" bestFit="1" customWidth="1"/>
    <col min="2" max="2" width="10.83203125" style="2"/>
    <col min="3" max="3" width="13.1640625" style="2" bestFit="1" customWidth="1"/>
    <col min="4" max="4" width="10.83203125" style="2"/>
    <col min="5" max="5" width="22.33203125" style="2" bestFit="1" customWidth="1"/>
    <col min="6" max="6" width="18.6640625" style="2" bestFit="1" customWidth="1"/>
    <col min="7" max="7" width="16.33203125" style="2" bestFit="1" customWidth="1"/>
    <col min="8" max="8" width="8.1640625" style="2" bestFit="1" customWidth="1"/>
    <col min="9" max="9" width="17.6640625" style="2" bestFit="1" customWidth="1"/>
    <col min="10" max="10" width="10.83203125" style="2"/>
    <col min="11" max="11" width="13.83203125" style="2" bestFit="1" customWidth="1"/>
    <col min="12" max="12" width="19.83203125" style="2" customWidth="1"/>
    <col min="13" max="16384" width="10.83203125" style="2"/>
  </cols>
  <sheetData>
    <row r="6" spans="1:12" x14ac:dyDescent="0.2">
      <c r="C6" s="2" t="s">
        <v>68</v>
      </c>
      <c r="D6" s="2" t="s">
        <v>60</v>
      </c>
      <c r="E6" s="2" t="s">
        <v>69</v>
      </c>
      <c r="F6" s="2" t="s">
        <v>72</v>
      </c>
      <c r="G6" s="2" t="s">
        <v>70</v>
      </c>
      <c r="I6" s="2" t="s">
        <v>71</v>
      </c>
      <c r="J6" s="2" t="s">
        <v>63</v>
      </c>
      <c r="K6" s="2" t="s">
        <v>86</v>
      </c>
      <c r="L6" s="2" t="s">
        <v>75</v>
      </c>
    </row>
    <row r="7" spans="1:12" x14ac:dyDescent="0.2">
      <c r="B7" s="2" t="s">
        <v>58</v>
      </c>
      <c r="C7" s="2">
        <v>186.47</v>
      </c>
      <c r="D7" s="2">
        <f>90*70</f>
        <v>6300</v>
      </c>
      <c r="E7" s="2">
        <v>15693</v>
      </c>
      <c r="F7" s="2">
        <f>E7-D7</f>
        <v>9393</v>
      </c>
      <c r="G7" s="2">
        <f>C7-B16</f>
        <v>106.47</v>
      </c>
      <c r="H7" s="2">
        <f>G7*$B$14</f>
        <v>7985.25</v>
      </c>
      <c r="I7" s="2">
        <f>F7-H7</f>
        <v>1407.75</v>
      </c>
      <c r="J7" s="26">
        <f>I7*$B$13</f>
        <v>70.387500000000003</v>
      </c>
      <c r="K7" s="55">
        <f>J7/G7</f>
        <v>0.66110171879402657</v>
      </c>
      <c r="L7" s="30">
        <f>C7-B16</f>
        <v>106.47</v>
      </c>
    </row>
    <row r="8" spans="1:12" ht="17" customHeight="1" x14ac:dyDescent="0.2">
      <c r="B8" s="2" t="s">
        <v>59</v>
      </c>
      <c r="C8" s="2">
        <v>167.62</v>
      </c>
      <c r="D8" s="2">
        <f>$B$15*B17</f>
        <v>5400</v>
      </c>
      <c r="E8" s="2">
        <v>16404</v>
      </c>
      <c r="F8" s="2">
        <f t="shared" ref="F8:F11" si="0">E8-D8</f>
        <v>11004</v>
      </c>
      <c r="G8" s="2">
        <f t="shared" ref="G8:G11" si="1">C8-B17</f>
        <v>107.62</v>
      </c>
      <c r="H8" s="2">
        <f t="shared" ref="H8:H10" si="2">G8*$B$14</f>
        <v>8071.5</v>
      </c>
      <c r="I8" s="2">
        <f t="shared" ref="I8:I11" si="3">F8-H8</f>
        <v>2932.5</v>
      </c>
      <c r="J8" s="26">
        <f t="shared" ref="J8:J10" si="4">I8*$B$13</f>
        <v>146.625</v>
      </c>
      <c r="K8" s="56">
        <f>J8/G8</f>
        <v>1.362432633339528</v>
      </c>
      <c r="L8" s="30">
        <f>C8-B17</f>
        <v>107.62</v>
      </c>
    </row>
    <row r="9" spans="1:12" ht="17" customHeight="1" x14ac:dyDescent="0.2">
      <c r="B9" s="2" t="s">
        <v>126</v>
      </c>
      <c r="C9" s="2">
        <v>143.49</v>
      </c>
      <c r="E9" s="2">
        <v>12728</v>
      </c>
      <c r="F9" s="2">
        <f t="shared" si="0"/>
        <v>12728</v>
      </c>
      <c r="G9" s="2">
        <f>C9-B18</f>
        <v>143.49</v>
      </c>
      <c r="H9" s="2">
        <f t="shared" si="2"/>
        <v>10761.75</v>
      </c>
      <c r="I9" s="2">
        <f>F9-H9</f>
        <v>1966.25</v>
      </c>
      <c r="J9" s="26">
        <f t="shared" si="4"/>
        <v>98.3125</v>
      </c>
      <c r="K9" s="56"/>
      <c r="L9" s="30"/>
    </row>
    <row r="10" spans="1:12" ht="17" customHeight="1" x14ac:dyDescent="0.2">
      <c r="B10" s="2" t="s">
        <v>82</v>
      </c>
      <c r="C10" s="2">
        <v>197.49</v>
      </c>
      <c r="E10" s="2">
        <f>+E7</f>
        <v>15693</v>
      </c>
      <c r="F10" s="2">
        <f t="shared" si="0"/>
        <v>15693</v>
      </c>
      <c r="G10" s="2">
        <f t="shared" si="1"/>
        <v>197.49</v>
      </c>
      <c r="H10" s="2">
        <f t="shared" si="2"/>
        <v>14811.75</v>
      </c>
      <c r="I10" s="2">
        <f t="shared" si="3"/>
        <v>881.25</v>
      </c>
      <c r="J10" s="26">
        <f t="shared" si="4"/>
        <v>44.0625</v>
      </c>
      <c r="K10" s="56"/>
      <c r="L10" s="30"/>
    </row>
    <row r="11" spans="1:12" x14ac:dyDescent="0.2">
      <c r="F11" s="2">
        <f t="shared" si="0"/>
        <v>0</v>
      </c>
      <c r="G11" s="2">
        <f t="shared" si="1"/>
        <v>0</v>
      </c>
      <c r="I11" s="2">
        <f t="shared" si="3"/>
        <v>0</v>
      </c>
    </row>
    <row r="12" spans="1:12" x14ac:dyDescent="0.2">
      <c r="A12" s="127" t="s">
        <v>64</v>
      </c>
    </row>
    <row r="13" spans="1:12" x14ac:dyDescent="0.2">
      <c r="A13" s="2" t="s">
        <v>65</v>
      </c>
      <c r="B13" s="2">
        <v>0.05</v>
      </c>
    </row>
    <row r="14" spans="1:12" x14ac:dyDescent="0.2">
      <c r="A14" s="2" t="s">
        <v>66</v>
      </c>
      <c r="B14" s="2">
        <v>75</v>
      </c>
    </row>
    <row r="15" spans="1:12" x14ac:dyDescent="0.2">
      <c r="A15" s="2" t="s">
        <v>67</v>
      </c>
      <c r="B15" s="2">
        <v>90</v>
      </c>
    </row>
    <row r="16" spans="1:12" x14ac:dyDescent="0.2">
      <c r="A16" s="25" t="s">
        <v>62</v>
      </c>
      <c r="B16" s="2">
        <v>80</v>
      </c>
      <c r="C16" s="2" t="s">
        <v>114</v>
      </c>
    </row>
    <row r="17" spans="1:7" x14ac:dyDescent="0.2">
      <c r="A17" s="25" t="s">
        <v>61</v>
      </c>
      <c r="B17" s="2">
        <v>60</v>
      </c>
    </row>
    <row r="18" spans="1:7" x14ac:dyDescent="0.2">
      <c r="A18" s="25" t="s">
        <v>125</v>
      </c>
      <c r="B18" s="2">
        <v>0</v>
      </c>
    </row>
    <row r="19" spans="1:7" x14ac:dyDescent="0.2">
      <c r="A19" s="2" t="s">
        <v>82</v>
      </c>
      <c r="B19" s="2">
        <v>0</v>
      </c>
    </row>
    <row r="23" spans="1:7" x14ac:dyDescent="0.2">
      <c r="B23" s="2">
        <f>5*20</f>
        <v>100</v>
      </c>
    </row>
    <row r="24" spans="1:7" x14ac:dyDescent="0.2">
      <c r="E24" s="2">
        <v>116.54</v>
      </c>
    </row>
    <row r="25" spans="1:7" x14ac:dyDescent="0.2">
      <c r="E25" s="2">
        <f>+E24*75</f>
        <v>8740.5</v>
      </c>
    </row>
    <row r="26" spans="1:7" x14ac:dyDescent="0.2">
      <c r="E26" s="2">
        <v>11119</v>
      </c>
      <c r="F26" s="2">
        <f>(E26-E25)*0.05</f>
        <v>118.92500000000001</v>
      </c>
      <c r="G26" s="2">
        <f>F26-50</f>
        <v>68.925000000000011</v>
      </c>
    </row>
    <row r="27" spans="1:7" x14ac:dyDescent="0.2">
      <c r="F27" s="2">
        <f>+F2</f>
        <v>0</v>
      </c>
    </row>
    <row r="31" spans="1:7" x14ac:dyDescent="0.2">
      <c r="G31" s="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SUMMARY</vt:lpstr>
      <vt:lpstr>FOH&amp;BOH </vt:lpstr>
      <vt:lpstr>HOLIDAYS AND NOTES</vt:lpstr>
      <vt:lpstr>STARTERS DETAILS </vt:lpstr>
      <vt:lpstr>Dumpling Bonus </vt:lpstr>
      <vt:lpstr>'HOLIDAYS AND NOTES'!Print_Area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2023-04-24T16:04:37Z</dcterms:modified>
</cp:coreProperties>
</file>