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D0AB8BF6-9099-9548-8450-0628965DEEDE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UMMARY" sheetId="3" r:id="rId1"/>
    <sheet name="Staff timesheets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2" l="1"/>
  <c r="E13" i="2"/>
  <c r="E14" i="2"/>
  <c r="E15" i="2"/>
  <c r="E12" i="2"/>
  <c r="E11" i="2"/>
  <c r="E10" i="2"/>
  <c r="E9" i="2"/>
  <c r="E8" i="2"/>
  <c r="E7" i="2"/>
  <c r="E6" i="2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I19" i="8"/>
  <c r="D7" i="6"/>
  <c r="D8" i="6"/>
  <c r="F15" i="2"/>
  <c r="F14" i="2"/>
  <c r="F11" i="2"/>
  <c r="F10" i="2"/>
  <c r="F9" i="2"/>
  <c r="F7" i="2"/>
  <c r="F6" i="2"/>
  <c r="E16" i="8" l="1"/>
  <c r="E15" i="8"/>
  <c r="F12" i="2" l="1"/>
  <c r="B23" i="6"/>
  <c r="G4" i="8" l="1"/>
  <c r="G26" i="6"/>
  <c r="F26" i="6"/>
  <c r="F27" i="6"/>
  <c r="E25" i="6"/>
  <c r="F8" i="6"/>
  <c r="G8" i="6"/>
  <c r="F16" i="2" l="1"/>
  <c r="C16" i="3" s="1"/>
  <c r="H8" i="6"/>
  <c r="I8" i="6" s="1"/>
  <c r="C67" i="8" l="1"/>
  <c r="I48" i="8" a="1"/>
  <c r="I48" i="8" s="1"/>
  <c r="L7" i="6" l="1"/>
  <c r="F7" i="6" l="1"/>
  <c r="G7" i="6" l="1"/>
  <c r="H7" i="6" l="1"/>
  <c r="L8" i="6"/>
  <c r="G41" i="8" s="1"/>
  <c r="C14" i="3" s="1"/>
  <c r="I7" i="6" l="1"/>
  <c r="J7" i="6" s="1"/>
  <c r="J8" i="6"/>
  <c r="I41" i="8" l="1"/>
  <c r="K8" i="6"/>
  <c r="H41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<sst xmlns="http://schemas.openxmlformats.org/spreadsheetml/2006/main" count="252" uniqueCount="178">
  <si>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</si>
  <si>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</si>
  <si>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</si>
  <si>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</si>
  <si>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</si>
  <si>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</si>
  <si>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</si>
  <si>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</si>
  <si>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</si>
  <si>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Hourly Rate </t>
  </si>
  <si>
    <t xml:space="preserve">Auntie Wing </t>
  </si>
  <si>
    <t>Auntie WING</t>
  </si>
  <si>
    <t xml:space="preserve">NOTES </t>
  </si>
  <si>
    <t>Waitress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</si>
  <si>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</si>
  <si>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</si>
  <si>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</si>
  <si>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</si>
  <si>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</si>
  <si>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</si>
  <si>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</si>
  <si>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</si>
  <si>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</si>
  <si>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</si>
  <si>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</si>
  <si>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</si>
  <si>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</si>
  <si>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</si>
  <si>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</si>
  <si>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</si>
  <si>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</si>
  <si>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</si>
  <si>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</si>
  <si>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</si>
  <si>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Naomi Jhuliana</t>
  </si>
  <si>
    <t>Vallejos</t>
  </si>
  <si>
    <t xml:space="preserve">Junior chef </t>
  </si>
  <si>
    <t>Heidy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</si>
  <si>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</si>
  <si>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</si>
  <si>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</si>
  <si>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</si>
  <si>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</si>
  <si>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</si>
  <si>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</si>
  <si>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</si>
  <si>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</si>
  <si>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</si>
  <si>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</si>
  <si>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</si>
  <si>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</si>
  <si>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</si>
  <si>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</si>
  <si>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</si>
  <si>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</si>
  <si>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</si>
  <si>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</si>
  <si>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</si>
  <si>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</si>
  <si>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</si>
  <si>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</si>
  <si>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</si>
  <si>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</si>
  <si>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</si>
  <si>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</si>
  <si>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</si>
  <si>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</si>
  <si>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</si>
  <si>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</si>
  <si>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</si>
  <si>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</si>
  <si>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</si>
  <si>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</si>
  <si>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</si>
  <si>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</si>
  <si>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</si>
  <si>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</si>
  <si>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</si>
  <si>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</si>
  <si>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</si>
  <si>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</si>
  <si>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</si>
  <si>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</si>
  <si>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Ramos </t>
  </si>
  <si>
    <t>Hafiz Abdur</t>
  </si>
  <si>
    <t xml:space="preserve">Rahim </t>
  </si>
  <si>
    <t xml:space="preserve">Setareh </t>
  </si>
  <si>
    <t xml:space="preserve">Saeedfar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</si>
  <si>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</si>
  <si>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</si>
  <si>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</si>
  <si>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</si>
  <si>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</si>
  <si>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</si>
  <si>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</si>
  <si>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</si>
  <si>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</si>
  <si>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Waiter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</si>
  <si>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</si>
  <si>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</si>
  <si>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</si>
  <si>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</si>
  <si>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</si>
  <si>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</si>
  <si>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Special Arrang. Bonus </t>
  </si>
  <si>
    <t xml:space="preserve">Karina </t>
  </si>
  <si>
    <t>Kavdaska</t>
  </si>
  <si>
    <t xml:space="preserve">Archie </t>
  </si>
  <si>
    <t xml:space="preserve">Brice-Adams </t>
  </si>
  <si>
    <t xml:space="preserve">Melanny </t>
  </si>
  <si>
    <t xml:space="preserve"> Sharing Code</t>
  </si>
  <si>
    <t xml:space="preserve">Leaver </t>
  </si>
  <si>
    <t>Folleco Chala</t>
  </si>
  <si>
    <t xml:space="preserve">Eliana </t>
  </si>
  <si>
    <t xml:space="preserve">Sebastian </t>
  </si>
  <si>
    <t>04.00.04</t>
  </si>
  <si>
    <t xml:space="preserve">Kitchen Ass. Manager </t>
  </si>
  <si>
    <t>Kitchen manager</t>
  </si>
  <si>
    <t>Luca</t>
  </si>
  <si>
    <t xml:space="preserve">Holden </t>
  </si>
  <si>
    <t xml:space="preserve">Luisa </t>
  </si>
  <si>
    <t xml:space="preserve">Valenzuela </t>
  </si>
  <si>
    <t xml:space="preserve">Marc </t>
  </si>
  <si>
    <t xml:space="preserve">Boltman </t>
  </si>
  <si>
    <t>Leaver</t>
  </si>
  <si>
    <t xml:space="preserve">Starter </t>
  </si>
  <si>
    <t xml:space="preserve">Celeste </t>
  </si>
  <si>
    <t xml:space="preserve">Gabriella </t>
  </si>
  <si>
    <t xml:space="preserve">George </t>
  </si>
  <si>
    <t xml:space="preserve">Iara </t>
  </si>
  <si>
    <t xml:space="preserve">Celeste Mallison </t>
  </si>
  <si>
    <t>TL422019D</t>
  </si>
  <si>
    <t>51191837</t>
  </si>
  <si>
    <t>40.11.60</t>
  </si>
  <si>
    <t xml:space="preserve">Gabriella Walters </t>
  </si>
  <si>
    <t>PK726309B</t>
  </si>
  <si>
    <t>61373657</t>
  </si>
  <si>
    <t>09.01.29</t>
  </si>
  <si>
    <t xml:space="preserve">George Kelsey </t>
  </si>
  <si>
    <t>PK510269B</t>
  </si>
  <si>
    <t>71679464</t>
  </si>
  <si>
    <t>04.29.09</t>
  </si>
  <si>
    <t>Grigori Bitiakov</t>
  </si>
  <si>
    <t>34478594</t>
  </si>
  <si>
    <t>07.08.06</t>
  </si>
  <si>
    <t>TJ199978C</t>
  </si>
  <si>
    <t xml:space="preserve">Ece Henen Yengil </t>
  </si>
  <si>
    <t>PL305937B</t>
  </si>
  <si>
    <t>39952862</t>
  </si>
  <si>
    <t>30.97.90</t>
  </si>
  <si>
    <t xml:space="preserve">Iara Cabrita </t>
  </si>
  <si>
    <t>SP426221B</t>
  </si>
  <si>
    <t>66249405</t>
  </si>
  <si>
    <t>Katie Russell</t>
  </si>
  <si>
    <t>PJ860108A</t>
  </si>
  <si>
    <t>20.25.36</t>
  </si>
  <si>
    <t xml:space="preserve">Mallison </t>
  </si>
  <si>
    <t xml:space="preserve">Walters </t>
  </si>
  <si>
    <t>Kelsey</t>
  </si>
  <si>
    <t>Bitiakov</t>
  </si>
  <si>
    <t xml:space="preserve">Yengil </t>
  </si>
  <si>
    <t xml:space="preserve">Cabrita </t>
  </si>
  <si>
    <t xml:space="preserve">Russel </t>
  </si>
  <si>
    <t>Grigori</t>
  </si>
  <si>
    <t xml:space="preserve">Ece Helena </t>
  </si>
  <si>
    <t xml:space="preserve">Katie </t>
  </si>
  <si>
    <t>pay rise to £10</t>
  </si>
  <si>
    <t xml:space="preserve">increase sc to 2 </t>
  </si>
  <si>
    <t>pay increase t0 £11</t>
  </si>
  <si>
    <t xml:space="preserve">LEAVER </t>
  </si>
  <si>
    <t xml:space="preserve">Starter/Leaver </t>
  </si>
  <si>
    <t xml:space="preserve">Decrease sc to £1 </t>
  </si>
  <si>
    <t xml:space="preserve">Jess </t>
  </si>
  <si>
    <t xml:space="preserve">Eli </t>
  </si>
  <si>
    <t>Hafiz</t>
  </si>
  <si>
    <t xml:space="preserve">Mellany </t>
  </si>
  <si>
    <t xml:space="preserve">Luca </t>
  </si>
  <si>
    <t>PAYROLL  20th Aug to 24th Sept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</si>
</sst>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5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color rgb="FFFF0000"/>
      <name val="Calibri Light"/>
      <family val="2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1" fillId="2" borderId="0" xfId="0" applyFont="1" applyFill="1" applyBorder="1"/>
    <xf numFmtId="0" fontId="21" fillId="2" borderId="0" xfId="0" applyFont="1" applyFill="1"/>
    <xf numFmtId="0" fontId="21" fillId="3" borderId="0" xfId="0" applyFont="1" applyFill="1" applyBorder="1"/>
    <xf numFmtId="0" fontId="21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2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5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22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5" fillId="2" borderId="0" xfId="0" applyFont="1" applyFill="1" applyBorder="1"/>
    <xf numFmtId="0" fontId="19" fillId="4" borderId="0" xfId="0" applyFont="1" applyFill="1"/>
    <xf numFmtId="164" fontId="6" fillId="4" borderId="0" xfId="78" applyFont="1" applyFill="1" applyAlignment="1">
      <alignment horizontal="right" vertical="center"/>
    </xf>
    <xf numFmtId="165" fontId="19" fillId="4" borderId="0" xfId="0" applyNumberFormat="1" applyFont="1" applyFill="1"/>
    <xf numFmtId="0" fontId="26" fillId="2" borderId="0" xfId="0" applyFont="1" applyFill="1"/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165" fontId="12" fillId="2" borderId="0" xfId="0" applyNumberFormat="1" applyFont="1" applyFill="1"/>
    <xf numFmtId="10" fontId="14" fillId="2" borderId="0" xfId="79" applyNumberFormat="1" applyFont="1" applyFill="1"/>
    <xf numFmtId="165" fontId="27" fillId="2" borderId="0" xfId="0" applyNumberFormat="1" applyFont="1" applyFill="1"/>
    <xf numFmtId="0" fontId="27" fillId="2" borderId="0" xfId="0" applyFont="1" applyFill="1"/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165" fontId="27" fillId="4" borderId="0" xfId="0" applyNumberFormat="1" applyFont="1" applyFill="1"/>
    <xf numFmtId="0" fontId="27" fillId="4" borderId="0" xfId="0" applyFont="1" applyFill="1"/>
    <xf numFmtId="0" fontId="10" fillId="2" borderId="0" xfId="0" applyNumberFormat="1" applyFont="1" applyFill="1" applyBorder="1" applyAlignment="1">
      <alignment horizontal="center" vertical="center"/>
    </xf>
    <xf numFmtId="44" fontId="22" fillId="2" borderId="0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3" fillId="6" borderId="0" xfId="0" applyFont="1" applyFill="1"/>
    <xf numFmtId="0" fontId="24" fillId="6" borderId="0" xfId="0" applyFont="1" applyFill="1"/>
    <xf numFmtId="165" fontId="23" fillId="6" borderId="0" xfId="0" applyNumberFormat="1" applyFont="1" applyFill="1"/>
    <xf numFmtId="0" fontId="23" fillId="6" borderId="0" xfId="0" applyFont="1" applyFill="1" applyAlignment="1">
      <alignment horizontal="right" vertical="center"/>
    </xf>
    <xf numFmtId="164" fontId="23" fillId="6" borderId="0" xfId="0" applyNumberFormat="1" applyFont="1" applyFill="1"/>
    <xf numFmtId="0" fontId="28" fillId="2" borderId="0" xfId="0" applyFont="1" applyFill="1"/>
    <xf numFmtId="6" fontId="29" fillId="4" borderId="0" xfId="0" applyNumberFormat="1" applyFont="1" applyFill="1"/>
    <xf numFmtId="0" fontId="29" fillId="2" borderId="0" xfId="0" applyFont="1" applyFill="1"/>
    <xf numFmtId="0" fontId="29" fillId="4" borderId="0" xfId="0" applyFont="1" applyFill="1"/>
    <xf numFmtId="165" fontId="29" fillId="2" borderId="0" xfId="0" applyNumberFormat="1" applyFont="1" applyFill="1"/>
    <xf numFmtId="0" fontId="30" fillId="6" borderId="0" xfId="0" applyFont="1" applyFill="1"/>
    <xf numFmtId="0" fontId="31" fillId="2" borderId="1" xfId="0" applyFont="1" applyFill="1" applyBorder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abSelected="1" topLeftCell="A5" workbookViewId="0">
      <selection activeCell="F18" sqref="F18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26" t="s">
        <v>177</v>
      </c>
      <c r="B7" s="126"/>
      <c r="C7" s="126"/>
      <c r="D7" s="126"/>
      <c r="E7" s="126"/>
      <c r="F7" s="126"/>
      <c r="G7" s="126"/>
      <c r="H7" s="126"/>
      <c r="I7" s="126"/>
    </row>
    <row r="8" spans="1:9" x14ac:dyDescent="0.2">
      <c r="A8" s="126"/>
      <c r="B8" s="126"/>
      <c r="C8" s="126"/>
      <c r="D8" s="126"/>
      <c r="E8" s="126"/>
      <c r="F8" s="126"/>
      <c r="G8" s="126"/>
      <c r="H8" s="126"/>
      <c r="I8" s="126"/>
    </row>
    <row r="9" spans="1:9" x14ac:dyDescent="0.2">
      <c r="A9" s="10"/>
      <c r="E9" s="23"/>
      <c r="F9" s="13"/>
    </row>
    <row r="12" spans="1:9" x14ac:dyDescent="0.2">
      <c r="C12" s="19"/>
    </row>
    <row r="13" spans="1:9" x14ac:dyDescent="0.2">
      <c r="B13" s="20"/>
      <c r="C13" s="22" t="s">
        <v>15</v>
      </c>
    </row>
    <row r="14" spans="1:9" x14ac:dyDescent="0.2">
      <c r="B14" s="10" t="s">
        <v>8</v>
      </c>
      <c r="C14" s="17">
        <f>'Staff timesheets'!G41</f>
        <v>46779.233199999988</v>
      </c>
    </row>
    <row r="15" spans="1:9" x14ac:dyDescent="0.2">
      <c r="B15" s="10" t="s">
        <v>94</v>
      </c>
      <c r="C15" s="17">
        <f>'Staff timesheets'!H41</f>
        <v>360</v>
      </c>
    </row>
    <row r="16" spans="1:9" x14ac:dyDescent="0.2">
      <c r="B16" s="10" t="s">
        <v>14</v>
      </c>
      <c r="C16" s="17">
        <f>'HOLIDAYS AND NOTES'!F16</f>
        <v>3760.32</v>
      </c>
    </row>
    <row r="17" spans="2:6" ht="17" thickBot="1" x14ac:dyDescent="0.25">
      <c r="B17" s="18" t="s">
        <v>16</v>
      </c>
      <c r="C17" s="77">
        <f>SUM(C14:C16)</f>
        <v>50899.553199999988</v>
      </c>
    </row>
    <row r="18" spans="2:6" ht="17" thickTop="1" x14ac:dyDescent="0.2">
      <c r="F18" s="112"/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3:L67"/>
  <sheetViews>
    <sheetView topLeftCell="B8" zoomScale="120" zoomScaleNormal="120" workbookViewId="0">
      <selection activeCell="L11" sqref="L11"/>
    </sheetView>
  </sheetViews>
  <sheetFormatPr baseColWidth="10" defaultRowHeight="16" x14ac:dyDescent="0.2"/>
  <cols>
    <col min="1" max="1" width="22" style="2" hidden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3" spans="1:12" ht="17" thickBot="1" x14ac:dyDescent="0.25">
      <c r="A3" s="124" t="s">
        <v>0</v>
      </c>
      <c r="B3" s="124" t="s">
        <v>1</v>
      </c>
      <c r="C3" s="124" t="s">
        <v>2</v>
      </c>
      <c r="D3" s="124" t="s">
        <v>39</v>
      </c>
      <c r="E3" s="124" t="s">
        <v>44</v>
      </c>
      <c r="F3" s="124" t="s">
        <v>5</v>
      </c>
      <c r="G3" s="124" t="s">
        <v>40</v>
      </c>
      <c r="H3" s="124" t="s">
        <v>47</v>
      </c>
      <c r="I3" s="124" t="s">
        <v>104</v>
      </c>
      <c r="J3" s="124" t="s">
        <v>41</v>
      </c>
      <c r="K3" s="124" t="s">
        <v>42</v>
      </c>
      <c r="L3" s="124" t="s">
        <v>43</v>
      </c>
    </row>
    <row r="4" spans="1:12" ht="17" thickTop="1" x14ac:dyDescent="0.2">
      <c r="A4" s="4" t="s">
        <v>13</v>
      </c>
      <c r="B4" s="4" t="s">
        <v>32</v>
      </c>
      <c r="C4" s="4" t="s">
        <v>33</v>
      </c>
      <c r="D4" s="87" t="s">
        <v>9</v>
      </c>
      <c r="E4" s="88">
        <v>10.5</v>
      </c>
      <c r="F4" s="87">
        <v>192.18</v>
      </c>
      <c r="G4" s="89">
        <f>(E4*F4)+K4*F4</f>
        <v>2498.34</v>
      </c>
      <c r="H4" s="90">
        <v>100</v>
      </c>
      <c r="I4" s="91"/>
      <c r="J4" s="4"/>
      <c r="K4" s="92">
        <v>2.5</v>
      </c>
      <c r="L4" s="136"/>
    </row>
    <row r="5" spans="1:12" x14ac:dyDescent="0.2">
      <c r="A5" s="7" t="s">
        <v>76</v>
      </c>
      <c r="B5" s="64" t="s">
        <v>21</v>
      </c>
      <c r="C5" s="64" t="s">
        <v>22</v>
      </c>
      <c r="D5" s="64" t="s">
        <v>9</v>
      </c>
      <c r="E5" s="106">
        <v>11</v>
      </c>
      <c r="F5" s="64">
        <v>164.33</v>
      </c>
      <c r="G5" s="65">
        <f t="shared" ref="G5:G40" si="0">(E5*F5)+K5*F5</f>
        <v>2464.9500000000003</v>
      </c>
      <c r="H5" s="70">
        <v>170</v>
      </c>
      <c r="I5" s="8"/>
      <c r="J5" s="7"/>
      <c r="K5" s="66">
        <v>4</v>
      </c>
      <c r="L5" s="137"/>
    </row>
    <row r="6" spans="1:12" x14ac:dyDescent="0.2">
      <c r="A6" s="4" t="s">
        <v>76</v>
      </c>
      <c r="B6" s="93" t="s">
        <v>66</v>
      </c>
      <c r="C6" s="4" t="s">
        <v>67</v>
      </c>
      <c r="D6" s="87" t="s">
        <v>9</v>
      </c>
      <c r="E6" s="92">
        <v>11</v>
      </c>
      <c r="F6" s="87">
        <v>195.85</v>
      </c>
      <c r="G6" s="89">
        <f t="shared" si="0"/>
        <v>2741.8999999999996</v>
      </c>
      <c r="H6" s="91">
        <v>120</v>
      </c>
      <c r="I6" s="91"/>
      <c r="J6" s="4"/>
      <c r="K6" s="92">
        <v>3</v>
      </c>
      <c r="L6" s="138"/>
    </row>
    <row r="7" spans="1:12" x14ac:dyDescent="0.2">
      <c r="A7" s="7" t="s">
        <v>13</v>
      </c>
      <c r="B7" s="9" t="s">
        <v>46</v>
      </c>
      <c r="C7" s="7" t="s">
        <v>45</v>
      </c>
      <c r="D7" s="64" t="s">
        <v>9</v>
      </c>
      <c r="E7" s="66">
        <v>10</v>
      </c>
      <c r="F7" s="64">
        <v>135.37</v>
      </c>
      <c r="G7" s="65">
        <f t="shared" si="0"/>
        <v>1556.7550000000001</v>
      </c>
      <c r="H7" s="8"/>
      <c r="I7" s="8"/>
      <c r="J7" s="7"/>
      <c r="K7" s="66">
        <v>1.5</v>
      </c>
      <c r="L7" s="135" t="s">
        <v>111</v>
      </c>
    </row>
    <row r="8" spans="1:12" x14ac:dyDescent="0.2">
      <c r="A8" s="10" t="s">
        <v>13</v>
      </c>
      <c r="B8" s="95" t="s">
        <v>88</v>
      </c>
      <c r="C8" s="10" t="s">
        <v>89</v>
      </c>
      <c r="D8" s="87" t="s">
        <v>9</v>
      </c>
      <c r="E8" s="96">
        <v>10</v>
      </c>
      <c r="F8" s="87">
        <v>149.22</v>
      </c>
      <c r="G8" s="89">
        <f t="shared" si="0"/>
        <v>1641.42</v>
      </c>
      <c r="H8" s="97"/>
      <c r="I8" s="97"/>
      <c r="J8" s="10"/>
      <c r="K8" s="96">
        <v>1</v>
      </c>
      <c r="L8" s="114"/>
    </row>
    <row r="9" spans="1:12" x14ac:dyDescent="0.2">
      <c r="A9" s="115" t="s">
        <v>13</v>
      </c>
      <c r="B9" s="116" t="s">
        <v>90</v>
      </c>
      <c r="C9" s="115" t="s">
        <v>91</v>
      </c>
      <c r="D9" s="64" t="s">
        <v>9</v>
      </c>
      <c r="E9" s="117">
        <v>10</v>
      </c>
      <c r="F9" s="64">
        <v>161.58000000000001</v>
      </c>
      <c r="G9" s="65">
        <f t="shared" si="0"/>
        <v>1777.38</v>
      </c>
      <c r="H9" s="118"/>
      <c r="I9" s="118"/>
      <c r="J9" s="115"/>
      <c r="K9" s="117">
        <v>1</v>
      </c>
      <c r="L9" s="120" t="s">
        <v>166</v>
      </c>
    </row>
    <row r="10" spans="1:12" s="28" customFormat="1" x14ac:dyDescent="0.2">
      <c r="A10" s="10" t="s">
        <v>13</v>
      </c>
      <c r="B10" s="95" t="s">
        <v>105</v>
      </c>
      <c r="C10" s="10" t="s">
        <v>106</v>
      </c>
      <c r="D10" s="4" t="s">
        <v>9</v>
      </c>
      <c r="E10" s="96">
        <v>9</v>
      </c>
      <c r="F10" s="4">
        <v>61.83</v>
      </c>
      <c r="G10" s="89">
        <f t="shared" si="0"/>
        <v>618.30000000000007</v>
      </c>
      <c r="H10" s="113"/>
      <c r="I10" s="113"/>
      <c r="J10" s="114"/>
      <c r="K10" s="96">
        <v>1</v>
      </c>
      <c r="L10" s="114" t="s">
        <v>111</v>
      </c>
    </row>
    <row r="11" spans="1:12" s="28" customFormat="1" x14ac:dyDescent="0.2">
      <c r="A11" s="115" t="s">
        <v>97</v>
      </c>
      <c r="B11" s="116" t="s">
        <v>107</v>
      </c>
      <c r="C11" s="115" t="s">
        <v>108</v>
      </c>
      <c r="D11" s="7" t="s">
        <v>9</v>
      </c>
      <c r="E11" s="117">
        <v>9.5</v>
      </c>
      <c r="F11" s="7">
        <v>66.81</v>
      </c>
      <c r="G11" s="65">
        <f t="shared" si="0"/>
        <v>668.1</v>
      </c>
      <c r="H11" s="119"/>
      <c r="I11" s="119"/>
      <c r="J11" s="120"/>
      <c r="K11" s="117">
        <v>0.5</v>
      </c>
      <c r="L11" s="120" t="s">
        <v>111</v>
      </c>
    </row>
    <row r="12" spans="1:12" x14ac:dyDescent="0.2">
      <c r="A12" s="10" t="s">
        <v>97</v>
      </c>
      <c r="B12" s="95" t="s">
        <v>95</v>
      </c>
      <c r="C12" s="10" t="s">
        <v>96</v>
      </c>
      <c r="D12" s="87" t="s">
        <v>9</v>
      </c>
      <c r="E12" s="96">
        <v>10.42</v>
      </c>
      <c r="F12" s="134">
        <v>151.88999999999999</v>
      </c>
      <c r="G12" s="89">
        <f t="shared" si="0"/>
        <v>1734.5837999999999</v>
      </c>
      <c r="H12" s="97"/>
      <c r="I12" s="111"/>
      <c r="J12" s="10"/>
      <c r="K12" s="96">
        <v>1</v>
      </c>
      <c r="L12" s="114"/>
    </row>
    <row r="13" spans="1:12" x14ac:dyDescent="0.2">
      <c r="A13" s="115" t="s">
        <v>13</v>
      </c>
      <c r="B13" s="116" t="s">
        <v>109</v>
      </c>
      <c r="C13" s="115" t="s">
        <v>112</v>
      </c>
      <c r="D13" s="64" t="s">
        <v>9</v>
      </c>
      <c r="E13" s="117">
        <v>10.42</v>
      </c>
      <c r="F13" s="64">
        <v>20.51</v>
      </c>
      <c r="G13" s="65">
        <f t="shared" si="0"/>
        <v>234.2242</v>
      </c>
      <c r="H13" s="118"/>
      <c r="I13" s="118"/>
      <c r="J13" s="115"/>
      <c r="K13" s="117">
        <v>1</v>
      </c>
      <c r="L13" s="120" t="s">
        <v>171</v>
      </c>
    </row>
    <row r="14" spans="1:12" x14ac:dyDescent="0.2">
      <c r="A14" s="93" t="s">
        <v>23</v>
      </c>
      <c r="B14" s="94" t="s">
        <v>24</v>
      </c>
      <c r="C14" s="94" t="s">
        <v>25</v>
      </c>
      <c r="D14" s="87" t="s">
        <v>9</v>
      </c>
      <c r="E14" s="98">
        <v>10.42</v>
      </c>
      <c r="F14" s="94">
        <v>29.56</v>
      </c>
      <c r="G14" s="89">
        <f t="shared" si="0"/>
        <v>308.01519999999999</v>
      </c>
      <c r="H14" s="99"/>
      <c r="I14" s="89"/>
      <c r="J14" s="4"/>
      <c r="K14" s="92"/>
      <c r="L14" s="100"/>
    </row>
    <row r="15" spans="1:12" x14ac:dyDescent="0.2">
      <c r="A15" s="7" t="s">
        <v>36</v>
      </c>
      <c r="B15" s="9" t="s">
        <v>37</v>
      </c>
      <c r="C15" s="7" t="s">
        <v>83</v>
      </c>
      <c r="D15" s="64" t="s">
        <v>9</v>
      </c>
      <c r="E15" s="8">
        <f>10.7+1</f>
        <v>11.7</v>
      </c>
      <c r="F15" s="72"/>
      <c r="G15" s="65">
        <f t="shared" si="0"/>
        <v>0</v>
      </c>
      <c r="H15" s="8"/>
      <c r="I15" s="8"/>
      <c r="J15" s="7"/>
      <c r="K15" s="66">
        <v>2</v>
      </c>
      <c r="L15" s="78"/>
    </row>
    <row r="16" spans="1:12" x14ac:dyDescent="0.2">
      <c r="A16" s="104" t="s">
        <v>117</v>
      </c>
      <c r="B16" s="93" t="s">
        <v>86</v>
      </c>
      <c r="C16" s="4" t="s">
        <v>87</v>
      </c>
      <c r="D16" s="87" t="s">
        <v>9</v>
      </c>
      <c r="E16" s="91">
        <f>10.7+1.8</f>
        <v>12.5</v>
      </c>
      <c r="F16" s="103">
        <v>196.07</v>
      </c>
      <c r="G16" s="89">
        <f t="shared" si="0"/>
        <v>2646.9450000000002</v>
      </c>
      <c r="H16" s="91">
        <v>80</v>
      </c>
      <c r="I16" s="91"/>
      <c r="J16" s="4"/>
      <c r="K16" s="92">
        <v>1</v>
      </c>
      <c r="L16" s="100"/>
    </row>
    <row r="17" spans="1:12" x14ac:dyDescent="0.2">
      <c r="A17" s="7" t="s">
        <v>116</v>
      </c>
      <c r="B17" s="9" t="s">
        <v>69</v>
      </c>
      <c r="C17" s="7" t="s">
        <v>68</v>
      </c>
      <c r="D17" s="64" t="s">
        <v>9</v>
      </c>
      <c r="E17" s="8">
        <v>10.42</v>
      </c>
      <c r="F17" s="72"/>
      <c r="G17" s="65">
        <f t="shared" si="0"/>
        <v>0</v>
      </c>
      <c r="H17" s="110"/>
      <c r="I17" s="107"/>
      <c r="J17" s="7"/>
      <c r="K17" s="66">
        <v>1</v>
      </c>
      <c r="L17" s="78"/>
    </row>
    <row r="18" spans="1:12" ht="15" customHeight="1" x14ac:dyDescent="0.2">
      <c r="A18" s="4" t="s">
        <v>36</v>
      </c>
      <c r="B18" s="93" t="s">
        <v>101</v>
      </c>
      <c r="C18" s="4" t="s">
        <v>102</v>
      </c>
      <c r="D18" s="87" t="s">
        <v>9</v>
      </c>
      <c r="E18" s="91">
        <v>11</v>
      </c>
      <c r="F18" s="103">
        <v>144.79</v>
      </c>
      <c r="G18" s="89">
        <f t="shared" si="0"/>
        <v>1882.2699999999998</v>
      </c>
      <c r="H18" s="91">
        <v>100</v>
      </c>
      <c r="I18" s="91"/>
      <c r="J18" s="4"/>
      <c r="K18" s="92">
        <v>2</v>
      </c>
      <c r="L18" s="100" t="s">
        <v>167</v>
      </c>
    </row>
    <row r="19" spans="1:12" ht="18" customHeight="1" x14ac:dyDescent="0.2">
      <c r="A19" s="9" t="s">
        <v>17</v>
      </c>
      <c r="B19" s="67" t="s">
        <v>38</v>
      </c>
      <c r="C19" s="67" t="s">
        <v>20</v>
      </c>
      <c r="D19" s="64" t="s">
        <v>9</v>
      </c>
      <c r="E19" s="68">
        <v>10.42</v>
      </c>
      <c r="F19" s="69">
        <v>46.22</v>
      </c>
      <c r="G19" s="65">
        <f t="shared" si="0"/>
        <v>481.61239999999998</v>
      </c>
      <c r="H19" s="70"/>
      <c r="I19" s="8">
        <f>+'Dumpling Bonus '!J8+60</f>
        <v>101.17499999999995</v>
      </c>
      <c r="J19" s="7"/>
      <c r="K19" s="66"/>
      <c r="L19" s="78"/>
    </row>
    <row r="20" spans="1:12" x14ac:dyDescent="0.2">
      <c r="A20" s="4" t="s">
        <v>17</v>
      </c>
      <c r="B20" s="93" t="s">
        <v>11</v>
      </c>
      <c r="C20" s="93" t="s">
        <v>10</v>
      </c>
      <c r="D20" s="87" t="s">
        <v>9</v>
      </c>
      <c r="E20" s="98">
        <v>11</v>
      </c>
      <c r="F20" s="101">
        <v>244.47</v>
      </c>
      <c r="G20" s="89">
        <f t="shared" si="0"/>
        <v>2933.64</v>
      </c>
      <c r="H20" s="102"/>
      <c r="I20" s="102"/>
      <c r="J20" s="4"/>
      <c r="K20" s="92">
        <v>1</v>
      </c>
      <c r="L20" s="100"/>
    </row>
    <row r="21" spans="1:12" ht="15" customHeight="1" x14ac:dyDescent="0.2">
      <c r="A21" s="7" t="s">
        <v>17</v>
      </c>
      <c r="B21" s="9" t="s">
        <v>63</v>
      </c>
      <c r="C21" s="9" t="s">
        <v>64</v>
      </c>
      <c r="D21" s="64" t="s">
        <v>9</v>
      </c>
      <c r="E21" s="68">
        <v>10.42</v>
      </c>
      <c r="F21" s="9">
        <v>254.76</v>
      </c>
      <c r="G21" s="65">
        <f t="shared" si="0"/>
        <v>2654.5992000000001</v>
      </c>
      <c r="H21" s="71"/>
      <c r="I21" s="71"/>
      <c r="J21" s="7"/>
      <c r="K21" s="66"/>
      <c r="L21" s="78"/>
    </row>
    <row r="22" spans="1:12" x14ac:dyDescent="0.2">
      <c r="A22" s="4" t="s">
        <v>26</v>
      </c>
      <c r="B22" s="4" t="s">
        <v>28</v>
      </c>
      <c r="C22" s="4" t="s">
        <v>29</v>
      </c>
      <c r="D22" s="87" t="s">
        <v>9</v>
      </c>
      <c r="E22" s="98">
        <v>10</v>
      </c>
      <c r="F22" s="4">
        <v>223.05</v>
      </c>
      <c r="G22" s="89">
        <f t="shared" si="0"/>
        <v>2453.5500000000002</v>
      </c>
      <c r="H22" s="91">
        <v>100</v>
      </c>
      <c r="I22" s="91"/>
      <c r="J22" s="4"/>
      <c r="K22" s="92">
        <v>1</v>
      </c>
      <c r="L22" s="100"/>
    </row>
    <row r="23" spans="1:12" x14ac:dyDescent="0.2">
      <c r="A23" s="7" t="s">
        <v>36</v>
      </c>
      <c r="B23" s="7" t="s">
        <v>31</v>
      </c>
      <c r="C23" s="7" t="s">
        <v>30</v>
      </c>
      <c r="D23" s="64" t="s">
        <v>9</v>
      </c>
      <c r="E23" s="68">
        <v>11</v>
      </c>
      <c r="F23" s="105">
        <v>80</v>
      </c>
      <c r="G23" s="65">
        <f t="shared" si="0"/>
        <v>1120</v>
      </c>
      <c r="H23" s="8"/>
      <c r="I23" s="8"/>
      <c r="J23" s="7"/>
      <c r="K23" s="66">
        <v>3</v>
      </c>
      <c r="L23" s="78" t="s">
        <v>168</v>
      </c>
    </row>
    <row r="24" spans="1:12" x14ac:dyDescent="0.2">
      <c r="A24" s="4" t="s">
        <v>36</v>
      </c>
      <c r="B24" s="4" t="s">
        <v>34</v>
      </c>
      <c r="C24" s="4" t="s">
        <v>35</v>
      </c>
      <c r="D24" s="87" t="s">
        <v>9</v>
      </c>
      <c r="E24" s="98">
        <v>9</v>
      </c>
      <c r="F24" s="4">
        <v>63.65</v>
      </c>
      <c r="G24" s="89">
        <f t="shared" si="0"/>
        <v>604.67500000000007</v>
      </c>
      <c r="H24" s="91"/>
      <c r="I24" s="91"/>
      <c r="J24" s="4"/>
      <c r="K24" s="92">
        <v>0.5</v>
      </c>
      <c r="L24" s="100"/>
    </row>
    <row r="25" spans="1:12" ht="17" customHeight="1" x14ac:dyDescent="0.2">
      <c r="A25" s="4" t="s">
        <v>36</v>
      </c>
      <c r="B25" s="9" t="s">
        <v>118</v>
      </c>
      <c r="C25" s="7" t="s">
        <v>119</v>
      </c>
      <c r="D25" s="64" t="s">
        <v>9</v>
      </c>
      <c r="E25" s="8">
        <v>9</v>
      </c>
      <c r="F25" s="72">
        <v>41.85</v>
      </c>
      <c r="G25" s="65">
        <f t="shared" si="0"/>
        <v>397.57500000000005</v>
      </c>
      <c r="H25" s="8"/>
      <c r="I25" s="8"/>
      <c r="J25" s="7"/>
      <c r="K25" s="66">
        <v>0.5</v>
      </c>
      <c r="L25" s="78" t="s">
        <v>169</v>
      </c>
    </row>
    <row r="26" spans="1:12" x14ac:dyDescent="0.2">
      <c r="A26" s="7" t="s">
        <v>17</v>
      </c>
      <c r="B26" s="93" t="s">
        <v>70</v>
      </c>
      <c r="C26" s="4" t="s">
        <v>71</v>
      </c>
      <c r="D26" s="87" t="s">
        <v>9</v>
      </c>
      <c r="E26" s="91">
        <v>10.42</v>
      </c>
      <c r="F26" s="103">
        <v>315.73</v>
      </c>
      <c r="G26" s="89">
        <f t="shared" si="0"/>
        <v>3289.9066000000003</v>
      </c>
      <c r="H26" s="91">
        <v>80</v>
      </c>
      <c r="I26" s="91" t="s">
        <v>100</v>
      </c>
      <c r="J26" s="4"/>
      <c r="K26" s="92"/>
      <c r="L26" s="100"/>
    </row>
    <row r="27" spans="1:12" ht="15" customHeight="1" x14ac:dyDescent="0.2">
      <c r="A27" s="4" t="s">
        <v>17</v>
      </c>
      <c r="B27" s="9" t="s">
        <v>120</v>
      </c>
      <c r="C27" s="7" t="s">
        <v>121</v>
      </c>
      <c r="D27" s="64" t="s">
        <v>9</v>
      </c>
      <c r="E27" s="8">
        <v>11</v>
      </c>
      <c r="F27" s="72">
        <v>77.66</v>
      </c>
      <c r="G27" s="65">
        <f t="shared" si="0"/>
        <v>931.92</v>
      </c>
      <c r="H27" s="8"/>
      <c r="I27" s="8"/>
      <c r="J27" s="7"/>
      <c r="K27" s="66">
        <v>1</v>
      </c>
      <c r="L27" s="78"/>
    </row>
    <row r="28" spans="1:12" x14ac:dyDescent="0.2">
      <c r="A28" s="7" t="s">
        <v>36</v>
      </c>
      <c r="B28" s="93" t="s">
        <v>80</v>
      </c>
      <c r="C28" s="4" t="s">
        <v>78</v>
      </c>
      <c r="D28" s="87" t="s">
        <v>9</v>
      </c>
      <c r="E28" s="91">
        <v>10.42</v>
      </c>
      <c r="F28" s="103">
        <v>48.98</v>
      </c>
      <c r="G28" s="89">
        <f t="shared" si="0"/>
        <v>608.33159999999998</v>
      </c>
      <c r="H28" s="91"/>
      <c r="I28" s="91"/>
      <c r="J28" s="4"/>
      <c r="K28" s="92">
        <v>2</v>
      </c>
      <c r="L28" s="100"/>
    </row>
    <row r="29" spans="1:12" x14ac:dyDescent="0.2">
      <c r="A29" s="4" t="s">
        <v>36</v>
      </c>
      <c r="B29" s="9" t="s">
        <v>81</v>
      </c>
      <c r="C29" s="7" t="s">
        <v>79</v>
      </c>
      <c r="D29" s="64" t="s">
        <v>9</v>
      </c>
      <c r="E29" s="8">
        <v>11</v>
      </c>
      <c r="F29" s="72">
        <v>83.48</v>
      </c>
      <c r="G29" s="65">
        <f t="shared" si="0"/>
        <v>1085.24</v>
      </c>
      <c r="H29" s="8"/>
      <c r="I29" s="8"/>
      <c r="J29" s="7"/>
      <c r="K29" s="66">
        <v>2</v>
      </c>
      <c r="L29" s="78"/>
    </row>
    <row r="30" spans="1:12" x14ac:dyDescent="0.2">
      <c r="A30" s="86" t="s">
        <v>36</v>
      </c>
      <c r="B30" s="129" t="s">
        <v>84</v>
      </c>
      <c r="C30" s="129" t="s">
        <v>85</v>
      </c>
      <c r="D30" s="130" t="s">
        <v>9</v>
      </c>
      <c r="E30" s="131">
        <v>12</v>
      </c>
      <c r="F30" s="132">
        <v>157.16999999999999</v>
      </c>
      <c r="G30" s="89">
        <f t="shared" si="0"/>
        <v>1886.04</v>
      </c>
      <c r="H30" s="131"/>
      <c r="I30" s="131"/>
      <c r="J30" s="129"/>
      <c r="K30" s="133"/>
      <c r="L30" s="139"/>
    </row>
    <row r="31" spans="1:12" x14ac:dyDescent="0.2">
      <c r="A31" s="4" t="s">
        <v>36</v>
      </c>
      <c r="B31" s="9" t="s">
        <v>92</v>
      </c>
      <c r="C31" s="7" t="s">
        <v>93</v>
      </c>
      <c r="D31" s="64" t="s">
        <v>9</v>
      </c>
      <c r="E31" s="8">
        <v>11.4</v>
      </c>
      <c r="F31" s="72">
        <v>93</v>
      </c>
      <c r="G31" s="65">
        <f t="shared" si="0"/>
        <v>1199.7</v>
      </c>
      <c r="H31" s="8"/>
      <c r="I31" s="8"/>
      <c r="J31" s="7"/>
      <c r="K31" s="66">
        <v>1.5</v>
      </c>
      <c r="L31" s="78"/>
    </row>
    <row r="32" spans="1:12" s="125" customFormat="1" x14ac:dyDescent="0.2">
      <c r="A32" s="4" t="s">
        <v>36</v>
      </c>
      <c r="B32" s="93" t="s">
        <v>113</v>
      </c>
      <c r="C32" s="4" t="s">
        <v>114</v>
      </c>
      <c r="D32" s="87" t="s">
        <v>9</v>
      </c>
      <c r="E32" s="91">
        <v>9.5</v>
      </c>
      <c r="F32" s="103">
        <v>150.05000000000001</v>
      </c>
      <c r="G32" s="89">
        <f t="shared" si="0"/>
        <v>1500.5000000000002</v>
      </c>
      <c r="H32" s="91"/>
      <c r="I32" s="91"/>
      <c r="J32" s="4"/>
      <c r="K32" s="92">
        <v>0.5</v>
      </c>
      <c r="L32" s="136"/>
    </row>
    <row r="33" spans="1:12" x14ac:dyDescent="0.2">
      <c r="A33" s="4" t="s">
        <v>36</v>
      </c>
      <c r="B33" s="9" t="s">
        <v>122</v>
      </c>
      <c r="C33" s="7" t="s">
        <v>123</v>
      </c>
      <c r="D33" s="64" t="s">
        <v>9</v>
      </c>
      <c r="E33" s="8">
        <v>10.42</v>
      </c>
      <c r="F33" s="72">
        <v>182.11</v>
      </c>
      <c r="G33" s="65">
        <f t="shared" si="0"/>
        <v>2261.8062</v>
      </c>
      <c r="H33" s="8"/>
      <c r="I33" s="8"/>
      <c r="J33" s="7"/>
      <c r="K33" s="66">
        <v>2</v>
      </c>
      <c r="L33" s="78"/>
    </row>
    <row r="34" spans="1:12" x14ac:dyDescent="0.2">
      <c r="A34" s="4"/>
      <c r="B34" s="93" t="s">
        <v>126</v>
      </c>
      <c r="C34" s="4" t="s">
        <v>156</v>
      </c>
      <c r="D34" s="87" t="s">
        <v>9</v>
      </c>
      <c r="E34" s="91">
        <v>9</v>
      </c>
      <c r="F34" s="103">
        <v>13.2</v>
      </c>
      <c r="G34" s="89">
        <f t="shared" si="0"/>
        <v>118.8</v>
      </c>
      <c r="H34" s="91"/>
      <c r="I34" s="91"/>
      <c r="J34" s="4"/>
      <c r="K34" s="92"/>
      <c r="L34" s="100" t="s">
        <v>170</v>
      </c>
    </row>
    <row r="35" spans="1:12" x14ac:dyDescent="0.2">
      <c r="A35" s="4"/>
      <c r="B35" s="9" t="s">
        <v>127</v>
      </c>
      <c r="C35" s="7" t="s">
        <v>157</v>
      </c>
      <c r="D35" s="64" t="s">
        <v>9</v>
      </c>
      <c r="E35" s="8">
        <v>9</v>
      </c>
      <c r="F35" s="72">
        <v>12.32</v>
      </c>
      <c r="G35" s="65">
        <f t="shared" si="0"/>
        <v>110.88</v>
      </c>
      <c r="H35" s="8"/>
      <c r="I35" s="8"/>
      <c r="J35" s="7"/>
      <c r="K35" s="66"/>
      <c r="L35" s="78" t="s">
        <v>170</v>
      </c>
    </row>
    <row r="36" spans="1:12" x14ac:dyDescent="0.2">
      <c r="A36" s="4"/>
      <c r="B36" s="93" t="s">
        <v>128</v>
      </c>
      <c r="C36" s="4" t="s">
        <v>158</v>
      </c>
      <c r="D36" s="87" t="s">
        <v>9</v>
      </c>
      <c r="E36" s="91">
        <v>9.5</v>
      </c>
      <c r="F36" s="103">
        <v>75.12</v>
      </c>
      <c r="G36" s="89">
        <f t="shared" si="0"/>
        <v>713.6400000000001</v>
      </c>
      <c r="H36" s="91"/>
      <c r="I36" s="91"/>
      <c r="J36" s="4"/>
      <c r="K36" s="92"/>
      <c r="L36" s="100" t="s">
        <v>125</v>
      </c>
    </row>
    <row r="37" spans="1:12" x14ac:dyDescent="0.2">
      <c r="A37" s="4"/>
      <c r="B37" s="9" t="s">
        <v>163</v>
      </c>
      <c r="C37" s="7" t="s">
        <v>159</v>
      </c>
      <c r="D37" s="64" t="s">
        <v>9</v>
      </c>
      <c r="E37" s="8">
        <v>8</v>
      </c>
      <c r="F37" s="72">
        <v>54.29</v>
      </c>
      <c r="G37" s="65">
        <f t="shared" si="0"/>
        <v>434.32</v>
      </c>
      <c r="H37" s="8"/>
      <c r="I37" s="8"/>
      <c r="J37" s="7"/>
      <c r="K37" s="66"/>
      <c r="L37" s="78" t="s">
        <v>125</v>
      </c>
    </row>
    <row r="38" spans="1:12" x14ac:dyDescent="0.2">
      <c r="A38" s="4"/>
      <c r="B38" s="93" t="s">
        <v>164</v>
      </c>
      <c r="C38" s="4" t="s">
        <v>160</v>
      </c>
      <c r="D38" s="87" t="s">
        <v>9</v>
      </c>
      <c r="E38" s="91">
        <v>9</v>
      </c>
      <c r="F38" s="103">
        <v>29.68</v>
      </c>
      <c r="G38" s="89">
        <f t="shared" si="0"/>
        <v>267.12</v>
      </c>
      <c r="H38" s="91"/>
      <c r="I38" s="91"/>
      <c r="J38" s="4"/>
      <c r="K38" s="92"/>
      <c r="L38" s="100" t="s">
        <v>125</v>
      </c>
    </row>
    <row r="39" spans="1:12" x14ac:dyDescent="0.2">
      <c r="A39" s="4"/>
      <c r="B39" s="9" t="s">
        <v>129</v>
      </c>
      <c r="C39" s="7" t="s">
        <v>161</v>
      </c>
      <c r="D39" s="64" t="s">
        <v>9</v>
      </c>
      <c r="E39" s="8">
        <v>10.6</v>
      </c>
      <c r="F39" s="72">
        <v>44.14</v>
      </c>
      <c r="G39" s="65">
        <f t="shared" si="0"/>
        <v>467.88400000000001</v>
      </c>
      <c r="H39" s="8"/>
      <c r="I39" s="8"/>
      <c r="J39" s="7"/>
      <c r="K39" s="66"/>
      <c r="L39" s="78" t="s">
        <v>170</v>
      </c>
    </row>
    <row r="40" spans="1:12" x14ac:dyDescent="0.2">
      <c r="A40" s="4"/>
      <c r="B40" s="93" t="s">
        <v>165</v>
      </c>
      <c r="C40" s="4" t="s">
        <v>162</v>
      </c>
      <c r="D40" s="87" t="s">
        <v>9</v>
      </c>
      <c r="E40" s="91">
        <v>9.5</v>
      </c>
      <c r="F40" s="103">
        <v>50.98</v>
      </c>
      <c r="G40" s="89">
        <f t="shared" si="0"/>
        <v>484.30999999999995</v>
      </c>
      <c r="H40" s="91"/>
      <c r="I40" s="91"/>
      <c r="J40" s="4"/>
      <c r="K40" s="92"/>
      <c r="L40" s="100"/>
    </row>
    <row r="41" spans="1:12" ht="17" thickBot="1" x14ac:dyDescent="0.25">
      <c r="A41" s="18"/>
      <c r="B41" s="79"/>
      <c r="C41" s="18"/>
      <c r="D41" s="80"/>
      <c r="E41" s="81"/>
      <c r="F41" s="82"/>
      <c r="G41" s="83">
        <f>SUM(G4:G40)</f>
        <v>46779.233199999988</v>
      </c>
      <c r="H41" s="83">
        <f>SUM(H14:H40)</f>
        <v>360</v>
      </c>
      <c r="I41" s="84">
        <f>SUM(I19:I21)</f>
        <v>101.17499999999995</v>
      </c>
      <c r="J41" s="18"/>
      <c r="K41" s="85"/>
      <c r="L41" s="140"/>
    </row>
    <row r="42" spans="1:12" ht="17" thickTop="1" x14ac:dyDescent="0.2"/>
    <row r="48" spans="1:12" x14ac:dyDescent="0.2">
      <c r="I48" s="2" t="e" cm="1">
        <f t="array" ref="I48">5*tr</f>
        <v>#NAME?</v>
      </c>
    </row>
    <row r="67" spans="3:3" x14ac:dyDescent="0.2">
      <c r="C67" s="2">
        <f>2*3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"/>
  <sheetViews>
    <sheetView workbookViewId="0">
      <selection activeCell="C1" sqref="C1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7" width="13.33203125" style="2" bestFit="1" customWidth="1"/>
    <col min="8" max="255" width="11" style="2" customWidth="1"/>
    <col min="256" max="16384" width="8.83203125" style="2"/>
  </cols>
  <sheetData>
    <row r="1" spans="1:7" x14ac:dyDescent="0.2">
      <c r="C1" s="2" t="str">
        <f>+SUMMARY!A7</f>
        <v>PAYROLL  20th Aug to 24th Sept UGLY DUMPLING  TEAM</v>
      </c>
    </row>
    <row r="3" spans="1:7" x14ac:dyDescent="0.2">
      <c r="A3" s="127" t="s">
        <v>6</v>
      </c>
      <c r="B3" s="127"/>
      <c r="C3" s="127"/>
      <c r="D3" s="127"/>
      <c r="E3" s="127"/>
      <c r="F3" s="127"/>
      <c r="G3" s="127"/>
    </row>
    <row r="4" spans="1:7" ht="24" x14ac:dyDescent="0.3">
      <c r="A4" s="128"/>
      <c r="B4" s="128"/>
      <c r="C4" s="128"/>
      <c r="D4" s="128"/>
      <c r="E4" s="128"/>
      <c r="F4" s="128"/>
      <c r="G4" s="128"/>
    </row>
    <row r="5" spans="1:7" x14ac:dyDescent="0.2">
      <c r="A5" s="76" t="s">
        <v>1</v>
      </c>
      <c r="B5" s="76" t="s">
        <v>2</v>
      </c>
      <c r="C5" s="76" t="s">
        <v>3</v>
      </c>
      <c r="D5" s="76" t="s">
        <v>4</v>
      </c>
      <c r="E5" s="76" t="s">
        <v>5</v>
      </c>
      <c r="F5" s="76" t="s">
        <v>7</v>
      </c>
      <c r="G5" s="76" t="s">
        <v>75</v>
      </c>
    </row>
    <row r="6" spans="1:7" x14ac:dyDescent="0.2">
      <c r="A6" s="21" t="s">
        <v>46</v>
      </c>
      <c r="B6" s="11"/>
      <c r="C6" s="11"/>
      <c r="D6" s="73">
        <v>10.18</v>
      </c>
      <c r="E6" s="121">
        <f>4*8</f>
        <v>32</v>
      </c>
      <c r="F6" s="74">
        <f>+D6*E6</f>
        <v>325.76</v>
      </c>
      <c r="G6" s="122"/>
    </row>
    <row r="7" spans="1:7" x14ac:dyDescent="0.2">
      <c r="A7" s="21" t="s">
        <v>172</v>
      </c>
      <c r="B7" s="11"/>
      <c r="C7" s="11"/>
      <c r="D7" s="73">
        <v>10.42</v>
      </c>
      <c r="E7" s="121">
        <f>10*8</f>
        <v>80</v>
      </c>
      <c r="F7" s="74">
        <f t="shared" ref="F7:F15" si="0">+D7*E7</f>
        <v>833.6</v>
      </c>
      <c r="G7" s="122"/>
    </row>
    <row r="8" spans="1:7" x14ac:dyDescent="0.2">
      <c r="A8" s="21" t="s">
        <v>101</v>
      </c>
      <c r="B8" s="11"/>
      <c r="C8" s="11"/>
      <c r="D8" s="73">
        <v>10.42</v>
      </c>
      <c r="E8" s="121">
        <f>12*8</f>
        <v>96</v>
      </c>
      <c r="F8" s="74">
        <v>672</v>
      </c>
      <c r="G8" s="122"/>
    </row>
    <row r="9" spans="1:7" x14ac:dyDescent="0.2">
      <c r="A9" s="21" t="s">
        <v>80</v>
      </c>
      <c r="B9" s="11"/>
      <c r="C9" s="11"/>
      <c r="D9" s="73">
        <v>10.42</v>
      </c>
      <c r="E9" s="121">
        <f>2*8</f>
        <v>16</v>
      </c>
      <c r="F9" s="74">
        <f t="shared" si="0"/>
        <v>166.72</v>
      </c>
      <c r="G9" s="122"/>
    </row>
    <row r="10" spans="1:7" x14ac:dyDescent="0.2">
      <c r="A10" s="21" t="s">
        <v>173</v>
      </c>
      <c r="B10" s="11"/>
      <c r="C10" s="11"/>
      <c r="D10" s="73">
        <v>9</v>
      </c>
      <c r="E10" s="121">
        <f>4*8</f>
        <v>32</v>
      </c>
      <c r="F10" s="74">
        <f t="shared" si="0"/>
        <v>288</v>
      </c>
      <c r="G10" s="122"/>
    </row>
    <row r="11" spans="1:7" ht="15" customHeight="1" x14ac:dyDescent="0.2">
      <c r="A11" s="21" t="s">
        <v>86</v>
      </c>
      <c r="B11" s="11"/>
      <c r="C11" s="11"/>
      <c r="D11" s="73">
        <v>11.5</v>
      </c>
      <c r="E11" s="121">
        <f>3*8</f>
        <v>24</v>
      </c>
      <c r="F11" s="74">
        <f t="shared" si="0"/>
        <v>276</v>
      </c>
      <c r="G11" s="122" t="s">
        <v>124</v>
      </c>
    </row>
    <row r="12" spans="1:7" ht="15" customHeight="1" x14ac:dyDescent="0.2">
      <c r="A12" s="21" t="s">
        <v>174</v>
      </c>
      <c r="B12" s="11"/>
      <c r="C12" s="11"/>
      <c r="D12" s="73">
        <v>10.42</v>
      </c>
      <c r="E12" s="121">
        <f>5*8</f>
        <v>40</v>
      </c>
      <c r="F12" s="74">
        <f t="shared" si="0"/>
        <v>416.8</v>
      </c>
      <c r="G12" s="122"/>
    </row>
    <row r="13" spans="1:7" ht="15" customHeight="1" x14ac:dyDescent="0.2">
      <c r="A13" s="21" t="s">
        <v>176</v>
      </c>
      <c r="B13" s="11"/>
      <c r="C13" s="11"/>
      <c r="D13" s="73">
        <v>9</v>
      </c>
      <c r="E13" s="121">
        <f>2*8</f>
        <v>16</v>
      </c>
      <c r="F13" s="74">
        <f t="shared" si="0"/>
        <v>144</v>
      </c>
      <c r="G13" s="122"/>
    </row>
    <row r="14" spans="1:7" x14ac:dyDescent="0.2">
      <c r="A14" s="21" t="s">
        <v>107</v>
      </c>
      <c r="B14" s="11"/>
      <c r="C14" s="11"/>
      <c r="D14" s="73">
        <v>9.5</v>
      </c>
      <c r="E14" s="121">
        <f>4*8</f>
        <v>32</v>
      </c>
      <c r="F14" s="74">
        <f t="shared" si="0"/>
        <v>304</v>
      </c>
      <c r="G14" s="122"/>
    </row>
    <row r="15" spans="1:7" x14ac:dyDescent="0.2">
      <c r="A15" s="21" t="s">
        <v>175</v>
      </c>
      <c r="B15" s="11"/>
      <c r="C15" s="11"/>
      <c r="D15" s="73">
        <v>10.42</v>
      </c>
      <c r="E15" s="121">
        <f>4*8</f>
        <v>32</v>
      </c>
      <c r="F15" s="74">
        <f t="shared" si="0"/>
        <v>333.44</v>
      </c>
      <c r="G15" s="123" t="s">
        <v>124</v>
      </c>
    </row>
    <row r="16" spans="1:7" ht="17" thickBot="1" x14ac:dyDescent="0.25">
      <c r="A16" s="5" t="s">
        <v>7</v>
      </c>
      <c r="B16" s="6"/>
      <c r="C16" s="6"/>
      <c r="D16" s="6"/>
      <c r="E16" s="6"/>
      <c r="F16" s="109">
        <f>+SUM(F6:F15)</f>
        <v>3760.32</v>
      </c>
      <c r="G16" s="75"/>
    </row>
    <row r="17" spans="1:9" ht="17" thickTop="1" x14ac:dyDescent="0.2">
      <c r="A17" s="14"/>
      <c r="B17" s="12"/>
      <c r="C17" s="12"/>
      <c r="D17" s="12"/>
      <c r="E17" s="12"/>
      <c r="F17" s="15"/>
      <c r="G17" s="3"/>
    </row>
    <row r="18" spans="1:9" x14ac:dyDescent="0.2">
      <c r="A18" s="127"/>
      <c r="B18" s="127"/>
      <c r="C18" s="127"/>
      <c r="D18" s="127"/>
      <c r="E18" s="127"/>
      <c r="F18" s="127"/>
      <c r="G18" s="127"/>
      <c r="H18" s="4"/>
      <c r="I18" s="3"/>
    </row>
  </sheetData>
  <mergeCells count="3">
    <mergeCell ref="A18:G18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E27" sqref="E27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20th Aug to 24th Sept UGLY DUMPLING  TEAM</v>
      </c>
    </row>
    <row r="2" spans="1:12" x14ac:dyDescent="0.2">
      <c r="A2" s="24" t="s">
        <v>12</v>
      </c>
      <c r="B2" s="24"/>
    </row>
    <row r="4" spans="1:12" x14ac:dyDescent="0.2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x14ac:dyDescent="0.2">
      <c r="A5" s="34"/>
      <c r="B5" s="35"/>
      <c r="C5" s="36"/>
      <c r="D5" s="36"/>
      <c r="E5" s="36"/>
      <c r="F5" s="36"/>
      <c r="G5" s="36"/>
      <c r="H5" s="36"/>
      <c r="I5" s="36"/>
      <c r="J5" s="36"/>
      <c r="K5" s="36"/>
      <c r="L5" s="37"/>
    </row>
    <row r="6" spans="1:12" x14ac:dyDescent="0.2">
      <c r="A6" s="34"/>
      <c r="B6" s="35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x14ac:dyDescent="0.2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7"/>
    </row>
    <row r="8" spans="1:12" x14ac:dyDescent="0.2">
      <c r="A8" s="34"/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2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2">
      <c r="A10" s="3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s="40" customFormat="1" ht="20" customHeight="1" x14ac:dyDescent="0.25">
      <c r="A11" s="38"/>
      <c r="B11" s="52" t="s">
        <v>82</v>
      </c>
      <c r="C11" s="52" t="s">
        <v>73</v>
      </c>
      <c r="D11" s="52"/>
      <c r="E11" s="52" t="s">
        <v>98</v>
      </c>
      <c r="F11" s="52" t="s">
        <v>18</v>
      </c>
      <c r="G11" s="52" t="s">
        <v>19</v>
      </c>
      <c r="H11" s="52" t="s">
        <v>77</v>
      </c>
      <c r="I11" s="52" t="s">
        <v>27</v>
      </c>
      <c r="J11" s="52" t="s">
        <v>110</v>
      </c>
      <c r="K11" s="52" t="s">
        <v>72</v>
      </c>
      <c r="L11" s="39"/>
    </row>
    <row r="12" spans="1:12" x14ac:dyDescent="0.2">
      <c r="A12" s="41"/>
      <c r="B12" s="59" t="s">
        <v>130</v>
      </c>
      <c r="C12" s="42" t="s">
        <v>131</v>
      </c>
      <c r="D12" s="42"/>
      <c r="E12" s="51" t="s">
        <v>132</v>
      </c>
      <c r="F12" s="43" t="s">
        <v>133</v>
      </c>
      <c r="G12" s="44"/>
      <c r="H12" s="45"/>
      <c r="I12" s="26"/>
      <c r="J12" s="26"/>
      <c r="K12" s="26"/>
      <c r="L12" s="46"/>
    </row>
    <row r="13" spans="1:12" x14ac:dyDescent="0.2">
      <c r="A13" s="41"/>
      <c r="B13" s="61" t="s">
        <v>134</v>
      </c>
      <c r="C13" s="29" t="s">
        <v>135</v>
      </c>
      <c r="D13" s="29"/>
      <c r="E13" s="33" t="s">
        <v>136</v>
      </c>
      <c r="F13" s="32" t="s">
        <v>137</v>
      </c>
      <c r="G13" s="30"/>
      <c r="H13" s="31"/>
      <c r="I13" s="27"/>
      <c r="J13" s="27"/>
      <c r="K13" s="27"/>
      <c r="L13" s="46"/>
    </row>
    <row r="14" spans="1:12" x14ac:dyDescent="0.2">
      <c r="A14" s="41"/>
      <c r="B14" s="59" t="s">
        <v>138</v>
      </c>
      <c r="C14" s="42" t="s">
        <v>139</v>
      </c>
      <c r="D14" s="42"/>
      <c r="E14" s="48" t="s">
        <v>140</v>
      </c>
      <c r="F14" s="47" t="s">
        <v>141</v>
      </c>
      <c r="G14" s="44"/>
      <c r="H14" s="45"/>
      <c r="I14" s="26"/>
      <c r="J14" s="26"/>
      <c r="K14" s="26"/>
      <c r="L14" s="46"/>
    </row>
    <row r="15" spans="1:12" x14ac:dyDescent="0.2">
      <c r="A15" s="41"/>
      <c r="B15" s="61" t="s">
        <v>142</v>
      </c>
      <c r="C15" s="29" t="s">
        <v>145</v>
      </c>
      <c r="D15" s="29"/>
      <c r="E15" s="33" t="s">
        <v>143</v>
      </c>
      <c r="F15" s="32" t="s">
        <v>144</v>
      </c>
      <c r="G15" s="30"/>
      <c r="H15" s="31"/>
      <c r="I15" s="27"/>
      <c r="J15" s="27"/>
      <c r="K15" s="27"/>
      <c r="L15" s="46"/>
    </row>
    <row r="16" spans="1:12" x14ac:dyDescent="0.2">
      <c r="A16" s="41"/>
      <c r="B16" s="59" t="s">
        <v>146</v>
      </c>
      <c r="C16" s="2" t="s">
        <v>147</v>
      </c>
      <c r="D16" s="42"/>
      <c r="E16" s="48" t="s">
        <v>148</v>
      </c>
      <c r="F16" s="55" t="s">
        <v>149</v>
      </c>
      <c r="G16" s="44"/>
      <c r="H16" s="45"/>
      <c r="I16" s="26"/>
      <c r="J16" s="26"/>
      <c r="K16" s="26"/>
      <c r="L16" s="46"/>
    </row>
    <row r="17" spans="1:12" x14ac:dyDescent="0.2">
      <c r="A17" s="34"/>
      <c r="B17" s="61" t="s">
        <v>150</v>
      </c>
      <c r="C17" s="29" t="s">
        <v>151</v>
      </c>
      <c r="D17" s="29"/>
      <c r="E17" s="33" t="s">
        <v>152</v>
      </c>
      <c r="F17" s="32" t="s">
        <v>115</v>
      </c>
      <c r="G17" s="30"/>
      <c r="H17" s="31"/>
      <c r="I17" s="27"/>
      <c r="J17" s="27"/>
      <c r="K17" s="27"/>
      <c r="L17" s="46"/>
    </row>
    <row r="18" spans="1:12" x14ac:dyDescent="0.2">
      <c r="A18" s="36"/>
      <c r="B18" s="59" t="s">
        <v>153</v>
      </c>
      <c r="C18" s="42" t="s">
        <v>154</v>
      </c>
      <c r="D18" s="50"/>
      <c r="E18" s="51"/>
      <c r="F18" s="43" t="s">
        <v>155</v>
      </c>
      <c r="G18" s="44"/>
      <c r="H18" s="45"/>
      <c r="I18" s="26"/>
      <c r="J18" s="58"/>
      <c r="K18" s="26"/>
      <c r="L18" s="46"/>
    </row>
    <row r="19" spans="1:12" x14ac:dyDescent="0.2">
      <c r="A19" s="34"/>
      <c r="B19" s="61"/>
      <c r="C19" s="29"/>
      <c r="D19" s="29"/>
      <c r="E19" s="33"/>
      <c r="F19" s="32"/>
      <c r="G19" s="30"/>
      <c r="H19" s="27"/>
      <c r="I19" s="27"/>
      <c r="J19" s="27"/>
      <c r="K19" s="27"/>
      <c r="L19" s="46"/>
    </row>
    <row r="20" spans="1:12" x14ac:dyDescent="0.2">
      <c r="A20" s="34"/>
      <c r="B20" s="59"/>
      <c r="C20" s="42"/>
      <c r="D20" s="42"/>
      <c r="E20" s="48"/>
      <c r="F20" s="47"/>
      <c r="G20" s="44"/>
      <c r="H20" s="26"/>
      <c r="I20" s="26"/>
      <c r="J20" s="26"/>
      <c r="K20" s="26"/>
      <c r="L20" s="46"/>
    </row>
    <row r="21" spans="1:12" x14ac:dyDescent="0.2">
      <c r="A21" s="36"/>
      <c r="B21" s="61"/>
      <c r="C21" s="29"/>
      <c r="D21" s="29"/>
      <c r="E21" s="33"/>
      <c r="F21" s="32"/>
      <c r="G21" s="1"/>
      <c r="H21" s="27"/>
      <c r="I21" s="27"/>
      <c r="J21" s="27"/>
      <c r="K21" s="27"/>
      <c r="L21" s="26"/>
    </row>
    <row r="22" spans="1:12" x14ac:dyDescent="0.2">
      <c r="A22" s="36"/>
      <c r="B22" s="59"/>
      <c r="C22" s="36"/>
      <c r="D22" s="36"/>
      <c r="E22" s="56"/>
      <c r="F22" s="57"/>
      <c r="H22" s="36"/>
      <c r="I22" s="36"/>
      <c r="J22" s="36"/>
      <c r="K22" s="36"/>
      <c r="L22" s="36"/>
    </row>
    <row r="23" spans="1:12" x14ac:dyDescent="0.2">
      <c r="B23" s="62"/>
      <c r="C23" s="16"/>
      <c r="D23" s="16"/>
      <c r="E23" s="63"/>
      <c r="F23" s="63"/>
      <c r="G23" s="16"/>
      <c r="H23" s="16"/>
      <c r="I23" s="16"/>
      <c r="J23" s="16"/>
      <c r="K23" s="16"/>
    </row>
    <row r="24" spans="1:12" x14ac:dyDescent="0.2">
      <c r="B24" s="60"/>
      <c r="E24" s="49"/>
      <c r="F24" s="55"/>
    </row>
    <row r="25" spans="1:12" x14ac:dyDescent="0.2">
      <c r="B25" s="62"/>
      <c r="C25" s="16"/>
      <c r="D25" s="16"/>
      <c r="E25" s="63"/>
      <c r="F25" s="63"/>
      <c r="G25" s="16"/>
      <c r="H25" s="16"/>
      <c r="I25" s="16"/>
      <c r="J25" s="16"/>
      <c r="K25" s="16"/>
    </row>
    <row r="26" spans="1:12" x14ac:dyDescent="0.2">
      <c r="B26" s="60"/>
      <c r="E26" s="55"/>
      <c r="F26" s="5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2" workbookViewId="0">
      <selection activeCell="L8" sqref="L8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58</v>
      </c>
      <c r="D6" s="2" t="s">
        <v>50</v>
      </c>
      <c r="E6" s="2" t="s">
        <v>59</v>
      </c>
      <c r="F6" s="2" t="s">
        <v>62</v>
      </c>
      <c r="G6" s="2" t="s">
        <v>60</v>
      </c>
      <c r="I6" s="2" t="s">
        <v>61</v>
      </c>
      <c r="J6" s="2" t="s">
        <v>53</v>
      </c>
      <c r="K6" s="2" t="s">
        <v>74</v>
      </c>
      <c r="L6" s="2" t="s">
        <v>65</v>
      </c>
    </row>
    <row r="7" spans="1:12" x14ac:dyDescent="0.2">
      <c r="B7" s="2" t="s">
        <v>48</v>
      </c>
      <c r="C7" s="2">
        <v>182.25</v>
      </c>
      <c r="D7" s="2">
        <f>+B15*B16</f>
        <v>7200</v>
      </c>
      <c r="E7" s="2">
        <v>9045</v>
      </c>
      <c r="F7" s="2">
        <f>E7-D7</f>
        <v>1845</v>
      </c>
      <c r="G7" s="2">
        <f>C7-B16</f>
        <v>102.25</v>
      </c>
      <c r="H7" s="2">
        <f>G7*$B$14</f>
        <v>7668.75</v>
      </c>
      <c r="I7" s="2">
        <f>F7-H7</f>
        <v>-5823.75</v>
      </c>
      <c r="J7" s="25">
        <f>I7*$B$13</f>
        <v>-291.1875</v>
      </c>
      <c r="K7" s="53">
        <f>J7/G7</f>
        <v>-2.847799511002445</v>
      </c>
      <c r="L7" s="28">
        <f>C7-B16</f>
        <v>102.25</v>
      </c>
    </row>
    <row r="8" spans="1:12" ht="17" customHeight="1" x14ac:dyDescent="0.2">
      <c r="B8" s="2" t="s">
        <v>49</v>
      </c>
      <c r="C8" s="2">
        <v>169.74</v>
      </c>
      <c r="D8" s="2">
        <f>$B$15*B17</f>
        <v>7200</v>
      </c>
      <c r="E8" s="2">
        <v>14754</v>
      </c>
      <c r="F8" s="2">
        <f t="shared" ref="F8" si="0">E8-D8</f>
        <v>7554</v>
      </c>
      <c r="G8" s="2">
        <f t="shared" ref="G8" si="1">C8-B17</f>
        <v>89.740000000000009</v>
      </c>
      <c r="H8" s="2">
        <f t="shared" ref="H8" si="2">G8*$B$14</f>
        <v>6730.5000000000009</v>
      </c>
      <c r="I8" s="2">
        <f t="shared" ref="I8" si="3">F8-H8</f>
        <v>823.49999999999909</v>
      </c>
      <c r="J8" s="25">
        <f t="shared" ref="J8" si="4">I8*$B$13</f>
        <v>41.174999999999955</v>
      </c>
      <c r="K8" s="54">
        <f>J8/G8</f>
        <v>0.45882549587697741</v>
      </c>
      <c r="L8" s="28">
        <f>C8-B17</f>
        <v>89.740000000000009</v>
      </c>
    </row>
    <row r="9" spans="1:12" ht="17" customHeight="1" x14ac:dyDescent="0.2">
      <c r="J9" s="25"/>
      <c r="K9" s="54"/>
      <c r="L9" s="28"/>
    </row>
    <row r="10" spans="1:12" ht="17" customHeight="1" x14ac:dyDescent="0.2">
      <c r="J10" s="25"/>
      <c r="K10" s="54"/>
      <c r="L10" s="28"/>
    </row>
    <row r="12" spans="1:12" x14ac:dyDescent="0.2">
      <c r="A12" s="108" t="s">
        <v>54</v>
      </c>
    </row>
    <row r="13" spans="1:12" x14ac:dyDescent="0.2">
      <c r="A13" s="2" t="s">
        <v>55</v>
      </c>
      <c r="B13" s="2">
        <v>0.05</v>
      </c>
    </row>
    <row r="14" spans="1:12" x14ac:dyDescent="0.2">
      <c r="A14" s="2" t="s">
        <v>56</v>
      </c>
      <c r="B14" s="2">
        <v>75</v>
      </c>
    </row>
    <row r="15" spans="1:12" x14ac:dyDescent="0.2">
      <c r="A15" s="2" t="s">
        <v>57</v>
      </c>
      <c r="B15" s="2">
        <v>90</v>
      </c>
    </row>
    <row r="16" spans="1:12" x14ac:dyDescent="0.2">
      <c r="A16" s="24" t="s">
        <v>52</v>
      </c>
      <c r="B16" s="2">
        <v>80</v>
      </c>
      <c r="C16" s="2" t="s">
        <v>99</v>
      </c>
    </row>
    <row r="17" spans="1:7" x14ac:dyDescent="0.2">
      <c r="A17" s="24" t="s">
        <v>51</v>
      </c>
      <c r="B17" s="2">
        <v>80</v>
      </c>
    </row>
    <row r="18" spans="1:7" x14ac:dyDescent="0.2">
      <c r="A18" s="24"/>
      <c r="B18" s="2">
        <v>0</v>
      </c>
    </row>
    <row r="19" spans="1:7" x14ac:dyDescent="0.2">
      <c r="A19" s="2" t="s">
        <v>70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Staff timesheets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2023-09-25T11:21:47Z</dcterms:modified>
</cp:coreProperties>
</file>