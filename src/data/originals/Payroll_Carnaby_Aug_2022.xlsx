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Ad Ugly 1 /"/>
    </mc:Choice>
  </mc:AlternateContent>
  <xr:revisionPtr revIDLastSave="0" documentId="13_ncr:1_{7F8DA27A-6A72-7A43-84CE-F16C165D19D9}" xr6:coauthVersionLast="47" xr6:coauthVersionMax="47" xr10:uidLastSave="{00000000-0000-0000-0000-000000000000}"/>
  <bookViews>
    <workbookView xWindow="0" yWindow="500" windowWidth="28800" windowHeight="16440" tabRatio="500" activeTab="4" xr2:uid="{00000000-000D-0000-FFFF-FFFF00000000}"/>
  </bookViews>
  <sheets>
    <sheet name="FOH " sheetId="1" r:id="rId1"/>
    <sheet name="BOH" sheetId="5" r:id="rId2"/>
    <sheet name="SUMMARY" sheetId="3" r:id="rId3"/>
    <sheet name="HOLIDAYS AND NOTES" sheetId="2" r:id="rId4"/>
    <sheet name="STARTERS DETAILS " sheetId="4" r:id="rId5"/>
    <sheet name="Dumpling Bonus " sheetId="6" r:id="rId6"/>
  </sheets>
  <definedNames>
    <definedName name="_xlnm.Print_Area" localSheetId="0">'FOH '!$A$5:$G$5</definedName>
    <definedName name="_xlnm.Print_Area" localSheetId="3">'HOLIDAYS AND NOTES'!$A$4:$F$12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0" i="1" l="1"/>
  <c r="E9" i="2"/>
  <c r="E8" i="2"/>
  <c r="H7" i="5"/>
  <c r="F32" i="5"/>
  <c r="E7" i="2"/>
  <c r="E6" i="2"/>
  <c r="F9" i="5" l="1"/>
  <c r="G9" i="5" s="1"/>
  <c r="F10" i="5"/>
  <c r="G18" i="1"/>
  <c r="G29" i="5"/>
  <c r="G28" i="5"/>
  <c r="G27" i="5"/>
  <c r="G25" i="5"/>
  <c r="G19" i="1"/>
  <c r="G14" i="1"/>
  <c r="D8" i="6"/>
  <c r="D9" i="6"/>
  <c r="L7" i="6"/>
  <c r="D7" i="6"/>
  <c r="F7" i="2"/>
  <c r="F8" i="2"/>
  <c r="F9" i="2"/>
  <c r="F6" i="2"/>
  <c r="G31" i="5"/>
  <c r="G20" i="5"/>
  <c r="G8" i="5"/>
  <c r="G8" i="1"/>
  <c r="G9" i="1"/>
  <c r="G10" i="1"/>
  <c r="G11" i="1"/>
  <c r="G12" i="1"/>
  <c r="G13" i="1"/>
  <c r="G15" i="1"/>
  <c r="G16" i="1"/>
  <c r="G17" i="1"/>
  <c r="G21" i="1"/>
  <c r="G7" i="5"/>
  <c r="G10" i="5"/>
  <c r="G11" i="5"/>
  <c r="G12" i="5"/>
  <c r="G13" i="5"/>
  <c r="G14" i="5"/>
  <c r="G15" i="5"/>
  <c r="G16" i="5"/>
  <c r="G17" i="5"/>
  <c r="G18" i="5"/>
  <c r="G19" i="5"/>
  <c r="G21" i="5"/>
  <c r="G22" i="5"/>
  <c r="G23" i="5"/>
  <c r="G24" i="5"/>
  <c r="G30" i="5"/>
  <c r="G32" i="5"/>
  <c r="G33" i="5"/>
  <c r="F7" i="6" l="1"/>
  <c r="G6" i="5" l="1"/>
  <c r="G6" i="1"/>
  <c r="F22" i="1"/>
  <c r="A1" i="1"/>
  <c r="G7" i="6"/>
  <c r="H7" i="6" s="1"/>
  <c r="L8" i="6" l="1"/>
  <c r="L9" i="6"/>
  <c r="G34" i="5" l="1"/>
  <c r="G8" i="6" l="1"/>
  <c r="H8" i="6" s="1"/>
  <c r="G9" i="6"/>
  <c r="H9" i="6" s="1"/>
  <c r="F9" i="6"/>
  <c r="F8" i="6"/>
  <c r="I9" i="6" l="1"/>
  <c r="J9" i="6" s="1"/>
  <c r="I8" i="6"/>
  <c r="J8" i="6" s="1"/>
  <c r="I9" i="5" s="1"/>
  <c r="I7" i="6"/>
  <c r="H34" i="5"/>
  <c r="A1" i="5"/>
  <c r="J7" i="6" l="1"/>
  <c r="I10" i="5" s="1"/>
  <c r="K8" i="6"/>
  <c r="K9" i="6"/>
  <c r="H22" i="1"/>
  <c r="C15" i="3" s="1"/>
  <c r="I34" i="5" l="1"/>
  <c r="C16" i="3" s="1"/>
  <c r="K7" i="6"/>
  <c r="I22" i="1"/>
  <c r="F10" i="2"/>
  <c r="C17" i="3" s="1"/>
  <c r="B1" i="4"/>
  <c r="C1" i="2"/>
  <c r="G22" i="1" l="1"/>
  <c r="C14" i="3" s="1"/>
  <c r="C18" i="3" s="1"/>
</calcChain>
</file>

<file path=xl/sharedStrings.xml><?xml version="1.0" encoding="utf-8"?>
<sst xmlns="http://schemas.openxmlformats.org/spreadsheetml/2006/main" count="303" uniqueCount="196">
  <si>
    <t>Employee Reference</t>
  </si>
  <si>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</si>
  <si>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</si>
  <si>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</si>
  <si>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</si>
  <si>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</si>
  <si>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</si>
  <si>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</si>
  <si>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>PAYROLL TOTAL</t>
  </si>
  <si>
    <t xml:space="preserve">Dimitris </t>
  </si>
  <si>
    <t xml:space="preserve">Papachristos </t>
  </si>
  <si>
    <t xml:space="preserve">Hourly Rate </t>
  </si>
  <si>
    <t xml:space="preserve">Auntie Wing </t>
  </si>
  <si>
    <t>Auntie WING</t>
  </si>
  <si>
    <t xml:space="preserve">NOTES </t>
  </si>
  <si>
    <t xml:space="preserve">SALES TARGET BONUS </t>
  </si>
  <si>
    <t>Waitress</t>
  </si>
  <si>
    <t xml:space="preserve">Kitchen Manager </t>
  </si>
  <si>
    <t>HOLIDAYS TOTAL</t>
  </si>
  <si>
    <t xml:space="preserve">DUMPLING BONUS </t>
  </si>
  <si>
    <t xml:space="preserve">TOTAL </t>
  </si>
  <si>
    <t xml:space="preserve">TOTAL PAYROLL </t>
  </si>
  <si>
    <t xml:space="preserve">Prod. Team </t>
  </si>
  <si>
    <t>Sort Code</t>
  </si>
  <si>
    <t>.</t>
  </si>
  <si>
    <t>Bank Account</t>
  </si>
  <si>
    <t xml:space="preserve">Nationality </t>
  </si>
  <si>
    <t xml:space="preserve">Jean Carlos </t>
  </si>
  <si>
    <t>Garcia Gonzalez</t>
  </si>
  <si>
    <t xml:space="preserve">    </t>
  </si>
  <si>
    <t>Melanny Salome</t>
  </si>
  <si>
    <t>Folleco Chala</t>
  </si>
  <si>
    <t>Cham</t>
  </si>
  <si>
    <t xml:space="preserve">Lissette </t>
  </si>
  <si>
    <t>Paredes</t>
  </si>
  <si>
    <t xml:space="preserve">Serior Chef </t>
  </si>
  <si>
    <t>Lorna</t>
  </si>
  <si>
    <t xml:space="preserve">Lau </t>
  </si>
  <si>
    <t>Kitchen Staff</t>
  </si>
  <si>
    <t xml:space="preserve">Setlment status </t>
  </si>
  <si>
    <t xml:space="preserve">Bruno </t>
  </si>
  <si>
    <t xml:space="preserve">Martins </t>
  </si>
  <si>
    <t>Vargas Feliz</t>
  </si>
  <si>
    <t>Adalgisa</t>
  </si>
  <si>
    <t>Tamar</t>
  </si>
  <si>
    <t>Molina Rios</t>
  </si>
  <si>
    <t>Sergio</t>
  </si>
  <si>
    <t>Ferrerosa</t>
  </si>
  <si>
    <t>Naomi Jhuliana</t>
  </si>
  <si>
    <t>Vallejos</t>
  </si>
  <si>
    <t xml:space="preserve">starter </t>
  </si>
  <si>
    <t xml:space="preserve">Junior chef </t>
  </si>
  <si>
    <t>Heidy</t>
  </si>
  <si>
    <t xml:space="preserve"> Share Code</t>
  </si>
  <si>
    <t>Chowdhury</t>
  </si>
  <si>
    <t xml:space="preserve">Rose </t>
  </si>
  <si>
    <t xml:space="preserve">Leonor </t>
  </si>
  <si>
    <t xml:space="preserve">Ferreira </t>
  </si>
  <si>
    <t>Wai Pink (Jess)</t>
  </si>
  <si>
    <t>Pay Comp. Description</t>
  </si>
  <si>
    <t>Pay</t>
  </si>
  <si>
    <t>Bonus</t>
  </si>
  <si>
    <t>Status</t>
  </si>
  <si>
    <t>S.Charge</t>
  </si>
  <si>
    <t>Notes</t>
  </si>
  <si>
    <t>H. Rate</t>
  </si>
  <si>
    <t>Jayaraj</t>
  </si>
  <si>
    <t xml:space="preserve">Rochelle </t>
  </si>
  <si>
    <t xml:space="preserve">Perf. Bonus </t>
  </si>
  <si>
    <t xml:space="preserve">Wing </t>
  </si>
  <si>
    <t>Jess</t>
  </si>
  <si>
    <t>Summer</t>
  </si>
  <si>
    <t>Cash ded</t>
  </si>
  <si>
    <t>jess</t>
  </si>
  <si>
    <t xml:space="preserve">wing </t>
  </si>
  <si>
    <t>summer</t>
  </si>
  <si>
    <t xml:space="preserve">Bonus </t>
  </si>
  <si>
    <t>Ref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</si>
  <si>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</si>
  <si>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</si>
  <si>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</si>
  <si>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</si>
  <si>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</si>
  <si>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</si>
  <si>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</si>
  <si>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Yi</t>
  </si>
  <si>
    <t>Total minus cash ded</t>
  </si>
  <si>
    <t xml:space="preserve">leaver </t>
  </si>
  <si>
    <t xml:space="preserve">Karina </t>
  </si>
  <si>
    <t xml:space="preserve">Kavdanska </t>
  </si>
  <si>
    <t xml:space="preserve">Kitty </t>
  </si>
  <si>
    <t xml:space="preserve">Oil Lan </t>
  </si>
  <si>
    <t xml:space="preserve">hours after bonus </t>
  </si>
  <si>
    <t xml:space="preserve">David Daniel </t>
  </si>
  <si>
    <t xml:space="preserve">Molina Rios </t>
  </si>
  <si>
    <t xml:space="preserve">Andreea </t>
  </si>
  <si>
    <t>Dinu</t>
  </si>
  <si>
    <t>60.30.06</t>
  </si>
  <si>
    <t>Rebecca</t>
  </si>
  <si>
    <t>Archibold</t>
  </si>
  <si>
    <t>04.00.04</t>
  </si>
  <si>
    <t xml:space="preserve">Agata </t>
  </si>
  <si>
    <t xml:space="preserve">Drobinska </t>
  </si>
  <si>
    <t xml:space="preserve">Manapalli </t>
  </si>
  <si>
    <t xml:space="preserve">Saicharan </t>
  </si>
  <si>
    <t xml:space="preserve">Ling </t>
  </si>
  <si>
    <t>Chak</t>
  </si>
  <si>
    <t>Resid. Card</t>
  </si>
  <si>
    <t>NINo</t>
  </si>
  <si>
    <t>Loh Kai Xuan Tabi</t>
  </si>
  <si>
    <t xml:space="preserve">bonus per hour </t>
  </si>
  <si>
    <t xml:space="preserve">STATUS </t>
  </si>
  <si>
    <t xml:space="preserve">Ass. Manager </t>
  </si>
  <si>
    <t>Shuangyue</t>
  </si>
  <si>
    <t>Zhao</t>
  </si>
  <si>
    <t xml:space="preserve">Shania </t>
  </si>
  <si>
    <t>Malcolm</t>
  </si>
  <si>
    <t xml:space="preserve">Tianyue Liao </t>
  </si>
  <si>
    <t>09.01.29</t>
  </si>
  <si>
    <t>Passaport nb</t>
  </si>
  <si>
    <t xml:space="preserve">Chala Quilumba </t>
  </si>
  <si>
    <t xml:space="preserve">Matos </t>
  </si>
  <si>
    <t xml:space="preserve">Liao </t>
  </si>
  <si>
    <t xml:space="preserve">Rodrigues </t>
  </si>
  <si>
    <t xml:space="preserve">Yaramasu </t>
  </si>
  <si>
    <t xml:space="preserve">Polireddy </t>
  </si>
  <si>
    <t xml:space="preserve">Olga </t>
  </si>
  <si>
    <t xml:space="preserve">Anny Belkys </t>
  </si>
  <si>
    <t xml:space="preserve">Roger </t>
  </si>
  <si>
    <t xml:space="preserve">Sayrupalavanya </t>
  </si>
  <si>
    <t xml:space="preserve">Rajitha </t>
  </si>
  <si>
    <t xml:space="preserve">Jc Marinel </t>
  </si>
  <si>
    <t xml:space="preserve">Navea </t>
  </si>
  <si>
    <t xml:space="preserve">Jean </t>
  </si>
  <si>
    <t xml:space="preserve">New Startes </t>
  </si>
  <si>
    <t>Pay rise £10.5</t>
  </si>
  <si>
    <t xml:space="preserve">Ciara </t>
  </si>
  <si>
    <t xml:space="preserve">Bates </t>
  </si>
  <si>
    <t xml:space="preserve">month sick pay </t>
  </si>
  <si>
    <t xml:space="preserve">Starter </t>
  </si>
  <si>
    <t xml:space="preserve">starter/leaver </t>
  </si>
  <si>
    <t xml:space="preserve">Leaver </t>
  </si>
  <si>
    <t xml:space="preserve">Ramos </t>
  </si>
  <si>
    <t xml:space="preserve">Hafiz Abdur Rahim </t>
  </si>
  <si>
    <t>NJ431589B</t>
  </si>
  <si>
    <t xml:space="preserve">Mei Lin Khong </t>
  </si>
  <si>
    <t>SC678346C</t>
  </si>
  <si>
    <t>05604751</t>
  </si>
  <si>
    <t>Setareh Saeedfar</t>
  </si>
  <si>
    <t>SW080810C</t>
  </si>
  <si>
    <t>31035019</t>
  </si>
  <si>
    <t>Blean  Anteneh</t>
  </si>
  <si>
    <t>PL082795D</t>
  </si>
  <si>
    <t>15007354</t>
  </si>
  <si>
    <t>Samira Islam</t>
  </si>
  <si>
    <t>SP914997B</t>
  </si>
  <si>
    <t>30.94.51</t>
  </si>
  <si>
    <t xml:space="preserve">Jill-Marie </t>
  </si>
  <si>
    <t>34553262</t>
  </si>
  <si>
    <t>30.90.89</t>
  </si>
  <si>
    <t>30.96.11</t>
  </si>
  <si>
    <t xml:space="preserve">Greta  Dell'Anna </t>
  </si>
  <si>
    <t>SR065107D</t>
  </si>
  <si>
    <t>93297551</t>
  </si>
  <si>
    <t>20.69.15</t>
  </si>
  <si>
    <t>GM</t>
  </si>
  <si>
    <t xml:space="preserve">Greta </t>
  </si>
  <si>
    <t>Dell'Anna</t>
  </si>
  <si>
    <t xml:space="preserve">Salary </t>
  </si>
  <si>
    <t xml:space="preserve">Holiday </t>
  </si>
  <si>
    <t xml:space="preserve">Blean </t>
  </si>
  <si>
    <t xml:space="preserve">Anteneh </t>
  </si>
  <si>
    <t xml:space="preserve">GM </t>
  </si>
  <si>
    <t>pay rise to £10</t>
  </si>
  <si>
    <t>pay rise to £8.5</t>
  </si>
  <si>
    <t>Hafiz Abdur</t>
  </si>
  <si>
    <t xml:space="preserve">Rahim </t>
  </si>
  <si>
    <t xml:space="preserve">Mei Lin </t>
  </si>
  <si>
    <t xml:space="preserve">Khong </t>
  </si>
  <si>
    <t xml:space="preserve">Setareh </t>
  </si>
  <si>
    <t xml:space="preserve">Saeedfar </t>
  </si>
  <si>
    <t xml:space="preserve">Samira </t>
  </si>
  <si>
    <t xml:space="preserve">Islan </t>
  </si>
  <si>
    <t xml:space="preserve">Addison-marrable </t>
  </si>
  <si>
    <t xml:space="preserve">Sofia </t>
  </si>
  <si>
    <t>PL061105B</t>
  </si>
  <si>
    <t xml:space="preserve">Sofia de Faria C M Ferreira </t>
  </si>
  <si>
    <t>SX321864A</t>
  </si>
  <si>
    <t>58799245</t>
  </si>
  <si>
    <t>60.83.71</t>
  </si>
  <si>
    <t>Leaver</t>
  </si>
  <si>
    <t>Agata</t>
  </si>
  <si>
    <t>53603160</t>
  </si>
  <si>
    <t xml:space="preserve">Mylo </t>
  </si>
  <si>
    <t xml:space="preserve">Watson </t>
  </si>
  <si>
    <t>PAYROLL 25TH JUNE - 21 JULY 22 UGLY DUMPLING 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</si>
</sst>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3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 (Body)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b/>
      <sz val="12"/>
      <color rgb="FF000000"/>
      <name val="Calibri"/>
      <family val="2"/>
      <scheme val="min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 (Body)"/>
    </font>
    <font>
      <sz val="12"/>
      <color rgb="FFFF0000"/>
      <name val="Calibri"/>
      <family val="2"/>
      <scheme val="minor"/>
    </font>
    <font>
      <b/>
      <sz val="10"/>
      <name val="Calibri Light"/>
      <family val="2"/>
      <scheme val="major"/>
    </font>
    <font>
      <b/>
      <sz val="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405E83"/>
      <name val="Microsoft Sans Serif"/>
      <family val="2"/>
    </font>
    <font>
      <b/>
      <sz val="12"/>
      <color rgb="FF92D050"/>
      <name val="Calibri"/>
      <family val="2"/>
      <scheme val="minor"/>
    </font>
    <font>
      <sz val="8"/>
      <name val="Calibri"/>
      <family val="2"/>
      <scheme val="minor"/>
    </font>
    <font>
      <sz val="10"/>
      <color theme="9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2"/>
      <color theme="1"/>
      <name val="Calibri"/>
      <family val="2"/>
    </font>
    <font>
      <b/>
      <sz val="10"/>
      <color rgb="FFFF0000"/>
      <name val="Calibri Light"/>
      <family val="2"/>
      <scheme val="major"/>
    </font>
    <font>
      <sz val="10"/>
      <color rgb="FF000000"/>
      <name val="Calibri Light"/>
      <family val="2"/>
    </font>
    <font>
      <sz val="10"/>
      <name val="Calibri Light"/>
      <family val="2"/>
    </font>
    <font>
      <b/>
      <sz val="10"/>
      <color rgb="FF000000"/>
      <name val="Calibri Light"/>
      <family val="2"/>
    </font>
    <font>
      <sz val="12"/>
      <color rgb="FF000000"/>
      <name val="Calibri"/>
      <family val="2"/>
      <scheme val="minor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8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9">
    <xf numFmtId="0" fontId="0" fillId="0" borderId="0" xfId="0"/>
    <xf numFmtId="0" fontId="0" fillId="3" borderId="0" xfId="0" applyFill="1" applyBorder="1"/>
    <xf numFmtId="0" fontId="0" fillId="2" borderId="0" xfId="0" applyFill="1"/>
    <xf numFmtId="166" fontId="0" fillId="2" borderId="0" xfId="0" applyNumberFormat="1" applyFill="1" applyAlignment="1">
      <alignment horizontal="right"/>
    </xf>
    <xf numFmtId="0" fontId="6" fillId="2" borderId="0" xfId="0" applyFont="1" applyFill="1"/>
    <xf numFmtId="0" fontId="8" fillId="2" borderId="1" xfId="0" applyFont="1" applyFill="1" applyBorder="1" applyAlignment="1"/>
    <xf numFmtId="0" fontId="7" fillId="2" borderId="1" xfId="0" applyFont="1" applyFill="1" applyBorder="1"/>
    <xf numFmtId="0" fontId="6" fillId="4" borderId="0" xfId="0" applyFont="1" applyFill="1"/>
    <xf numFmtId="165" fontId="6" fillId="4" borderId="0" xfId="0" applyNumberFormat="1" applyFont="1" applyFill="1"/>
    <xf numFmtId="0" fontId="6" fillId="4" borderId="0" xfId="0" applyFont="1" applyFill="1" applyBorder="1"/>
    <xf numFmtId="0" fontId="12" fillId="2" borderId="0" xfId="0" applyFont="1" applyFill="1"/>
    <xf numFmtId="0" fontId="9" fillId="2" borderId="0" xfId="0" applyFont="1" applyFill="1" applyBorder="1" applyAlignment="1">
      <alignment horizontal="center" vertical="center"/>
    </xf>
    <xf numFmtId="165" fontId="7" fillId="2" borderId="1" xfId="0" applyNumberFormat="1" applyFont="1" applyFill="1" applyBorder="1"/>
    <xf numFmtId="164" fontId="7" fillId="2" borderId="1" xfId="78" applyFont="1" applyFill="1" applyBorder="1"/>
    <xf numFmtId="0" fontId="7" fillId="2" borderId="0" xfId="0" applyFont="1" applyFill="1" applyBorder="1"/>
    <xf numFmtId="0" fontId="2" fillId="2" borderId="0" xfId="0" applyFont="1" applyFill="1" applyAlignment="1">
      <alignment horizontal="center"/>
    </xf>
    <xf numFmtId="0" fontId="8" fillId="2" borderId="0" xfId="0" applyFont="1" applyFill="1" applyBorder="1" applyAlignment="1"/>
    <xf numFmtId="165" fontId="7" fillId="2" borderId="0" xfId="0" applyNumberFormat="1" applyFont="1" applyFill="1" applyBorder="1"/>
    <xf numFmtId="0" fontId="0" fillId="3" borderId="0" xfId="0" applyFill="1"/>
    <xf numFmtId="167" fontId="12" fillId="2" borderId="0" xfId="0" applyNumberFormat="1" applyFont="1" applyFill="1"/>
    <xf numFmtId="0" fontId="13" fillId="2" borderId="1" xfId="0" applyFont="1" applyFill="1" applyBorder="1"/>
    <xf numFmtId="9" fontId="15" fillId="2" borderId="0" xfId="79" applyFont="1" applyFill="1"/>
    <xf numFmtId="0" fontId="11" fillId="2" borderId="0" xfId="0" applyFont="1" applyFill="1" applyBorder="1" applyAlignment="1">
      <alignment horizontal="center" vertical="center"/>
    </xf>
    <xf numFmtId="0" fontId="16" fillId="2" borderId="0" xfId="0" applyFont="1" applyFill="1"/>
    <xf numFmtId="0" fontId="12" fillId="4" borderId="2" xfId="0" applyFont="1" applyFill="1" applyBorder="1"/>
    <xf numFmtId="0" fontId="11" fillId="2" borderId="0" xfId="0" applyFont="1" applyFill="1" applyBorder="1" applyAlignment="1">
      <alignment horizontal="left" vertical="center"/>
    </xf>
    <xf numFmtId="0" fontId="13" fillId="4" borderId="2" xfId="0" applyFont="1" applyFill="1" applyBorder="1" applyAlignment="1">
      <alignment horizontal="right"/>
    </xf>
    <xf numFmtId="167" fontId="0" fillId="2" borderId="0" xfId="0" applyNumberFormat="1" applyFill="1"/>
    <xf numFmtId="9" fontId="0" fillId="2" borderId="0" xfId="79" applyFont="1" applyFill="1"/>
    <xf numFmtId="0" fontId="7" fillId="2" borderId="0" xfId="0" applyFont="1" applyFill="1"/>
    <xf numFmtId="0" fontId="13" fillId="2" borderId="0" xfId="0" applyFont="1" applyFill="1"/>
    <xf numFmtId="0" fontId="2" fillId="2" borderId="0" xfId="0" applyFont="1" applyFill="1"/>
    <xf numFmtId="0" fontId="2" fillId="2" borderId="0" xfId="0" applyFont="1" applyFill="1" applyBorder="1"/>
    <xf numFmtId="165" fontId="16" fillId="2" borderId="0" xfId="0" applyNumberFormat="1" applyFont="1" applyFill="1"/>
    <xf numFmtId="164" fontId="7" fillId="2" borderId="0" xfId="78" applyFont="1" applyFill="1"/>
    <xf numFmtId="0" fontId="17" fillId="2" borderId="0" xfId="0" applyFont="1" applyFill="1"/>
    <xf numFmtId="165" fontId="7" fillId="2" borderId="0" xfId="0" applyNumberFormat="1" applyFont="1" applyFill="1"/>
    <xf numFmtId="0" fontId="18" fillId="2" borderId="0" xfId="0" applyFont="1" applyFill="1"/>
    <xf numFmtId="0" fontId="10" fillId="2" borderId="1" xfId="0" applyFont="1" applyFill="1" applyBorder="1"/>
    <xf numFmtId="0" fontId="10" fillId="2" borderId="0" xfId="0" applyFont="1" applyFill="1"/>
    <xf numFmtId="164" fontId="7" fillId="2" borderId="0" xfId="0" applyNumberFormat="1" applyFont="1" applyFill="1"/>
    <xf numFmtId="0" fontId="19" fillId="2" borderId="0" xfId="0" applyFont="1" applyFill="1"/>
    <xf numFmtId="164" fontId="10" fillId="2" borderId="0" xfId="78" applyFont="1" applyFill="1"/>
    <xf numFmtId="0" fontId="7" fillId="2" borderId="0" xfId="78" applyNumberFormat="1" applyFont="1" applyFill="1" applyBorder="1" applyAlignment="1">
      <alignment horizontal="right" vertical="center"/>
    </xf>
    <xf numFmtId="165" fontId="2" fillId="2" borderId="0" xfId="0" applyNumberFormat="1" applyFont="1" applyFill="1"/>
    <xf numFmtId="165" fontId="13" fillId="2" borderId="0" xfId="0" applyNumberFormat="1" applyFont="1" applyFill="1"/>
    <xf numFmtId="165" fontId="7" fillId="2" borderId="1" xfId="78" applyNumberFormat="1" applyFont="1" applyFill="1" applyBorder="1"/>
    <xf numFmtId="165" fontId="10" fillId="2" borderId="1" xfId="0" applyNumberFormat="1" applyFont="1" applyFill="1" applyBorder="1"/>
    <xf numFmtId="0" fontId="22" fillId="2" borderId="2" xfId="0" applyFont="1" applyFill="1" applyBorder="1" applyAlignment="1">
      <alignment horizontal="left" vertical="center"/>
    </xf>
    <xf numFmtId="164" fontId="13" fillId="2" borderId="0" xfId="78" applyFont="1" applyFill="1"/>
    <xf numFmtId="9" fontId="23" fillId="2" borderId="0" xfId="79" applyFont="1" applyFill="1"/>
    <xf numFmtId="0" fontId="12" fillId="2" borderId="0" xfId="0" applyFont="1" applyFill="1" applyBorder="1"/>
    <xf numFmtId="0" fontId="11" fillId="2" borderId="0" xfId="0" applyFont="1" applyFill="1"/>
    <xf numFmtId="165" fontId="11" fillId="2" borderId="0" xfId="0" applyNumberFormat="1" applyFont="1" applyFill="1"/>
    <xf numFmtId="165" fontId="6" fillId="2" borderId="0" xfId="78" applyNumberFormat="1" applyFont="1" applyFill="1"/>
    <xf numFmtId="165" fontId="6" fillId="2" borderId="0" xfId="0" applyNumberFormat="1" applyFont="1" applyFill="1"/>
    <xf numFmtId="164" fontId="12" fillId="2" borderId="0" xfId="78" applyFont="1" applyFill="1"/>
    <xf numFmtId="0" fontId="6" fillId="2" borderId="0" xfId="0" applyFont="1" applyFill="1" applyBorder="1"/>
    <xf numFmtId="0" fontId="11" fillId="2" borderId="0" xfId="0" applyFont="1" applyFill="1" applyBorder="1"/>
    <xf numFmtId="165" fontId="6" fillId="2" borderId="0" xfId="0" applyNumberFormat="1" applyFont="1" applyFill="1" applyBorder="1" applyAlignment="1">
      <alignment horizontal="right" vertical="center"/>
    </xf>
    <xf numFmtId="165" fontId="12" fillId="2" borderId="0" xfId="0" applyNumberFormat="1" applyFont="1" applyFill="1"/>
    <xf numFmtId="0" fontId="6" fillId="2" borderId="0" xfId="78" applyNumberFormat="1" applyFont="1" applyFill="1" applyBorder="1" applyAlignment="1">
      <alignment horizontal="right" vertical="center"/>
    </xf>
    <xf numFmtId="165" fontId="11" fillId="2" borderId="0" xfId="78" applyNumberFormat="1" applyFont="1" applyFill="1"/>
    <xf numFmtId="0" fontId="0" fillId="2" borderId="0" xfId="0" applyFont="1" applyFill="1"/>
    <xf numFmtId="0" fontId="25" fillId="2" borderId="0" xfId="0" applyFont="1" applyFill="1" applyBorder="1"/>
    <xf numFmtId="164" fontId="6" fillId="2" borderId="0" xfId="78" applyFont="1" applyFill="1"/>
    <xf numFmtId="0" fontId="26" fillId="2" borderId="0" xfId="0" applyFont="1" applyFill="1" applyBorder="1"/>
    <xf numFmtId="0" fontId="26" fillId="3" borderId="0" xfId="0" applyFont="1" applyFill="1" applyBorder="1"/>
    <xf numFmtId="0" fontId="15" fillId="2" borderId="0" xfId="0" applyFont="1" applyFill="1"/>
    <xf numFmtId="0" fontId="26" fillId="3" borderId="0" xfId="0" applyFont="1" applyFill="1" applyBorder="1" applyAlignment="1"/>
    <xf numFmtId="1" fontId="26" fillId="3" borderId="0" xfId="0" applyNumberFormat="1" applyFont="1" applyFill="1" applyBorder="1" applyAlignment="1"/>
    <xf numFmtId="0" fontId="26" fillId="3" borderId="0" xfId="0" applyFont="1" applyFill="1" applyBorder="1" applyAlignment="1">
      <alignment horizontal="left"/>
    </xf>
    <xf numFmtId="1" fontId="26" fillId="3" borderId="0" xfId="0" applyNumberFormat="1" applyFont="1" applyFill="1" applyBorder="1" applyAlignment="1">
      <alignment horizontal="left"/>
    </xf>
    <xf numFmtId="165" fontId="6" fillId="2" borderId="0" xfId="78" applyNumberFormat="1" applyFont="1" applyFill="1" applyBorder="1"/>
    <xf numFmtId="49" fontId="26" fillId="3" borderId="0" xfId="0" applyNumberFormat="1" applyFont="1" applyFill="1" applyBorder="1" applyAlignment="1">
      <alignment horizontal="left"/>
    </xf>
    <xf numFmtId="164" fontId="6" fillId="2" borderId="0" xfId="78" applyFont="1" applyFill="1" applyAlignment="1">
      <alignment horizontal="right" vertical="center"/>
    </xf>
    <xf numFmtId="164" fontId="6" fillId="2" borderId="0" xfId="78" applyFont="1" applyFill="1" applyBorder="1" applyAlignment="1">
      <alignment horizontal="right" vertical="center"/>
    </xf>
    <xf numFmtId="0" fontId="0" fillId="2" borderId="3" xfId="0" applyFill="1" applyBorder="1"/>
    <xf numFmtId="0" fontId="0" fillId="2" borderId="0" xfId="0" applyFont="1" applyFill="1" applyBorder="1"/>
    <xf numFmtId="0" fontId="0" fillId="2" borderId="0" xfId="0" applyFill="1" applyBorder="1"/>
    <xf numFmtId="0" fontId="0" fillId="2" borderId="4" xfId="0" applyFill="1" applyBorder="1"/>
    <xf numFmtId="0" fontId="20" fillId="2" borderId="3" xfId="0" applyFont="1" applyFill="1" applyBorder="1"/>
    <xf numFmtId="0" fontId="21" fillId="2" borderId="0" xfId="0" applyFont="1" applyFill="1" applyBorder="1"/>
    <xf numFmtId="0" fontId="20" fillId="2" borderId="0" xfId="0" applyFont="1" applyFill="1"/>
    <xf numFmtId="0" fontId="2" fillId="2" borderId="3" xfId="0" applyFont="1" applyFill="1" applyBorder="1"/>
    <xf numFmtId="0" fontId="26" fillId="2" borderId="0" xfId="0" applyFont="1" applyFill="1" applyBorder="1" applyAlignment="1"/>
    <xf numFmtId="1" fontId="26" fillId="2" borderId="0" xfId="0" applyNumberFormat="1" applyFont="1" applyFill="1" applyAlignment="1">
      <alignment horizontal="left"/>
    </xf>
    <xf numFmtId="1" fontId="26" fillId="2" borderId="0" xfId="0" applyNumberFormat="1" applyFont="1" applyFill="1" applyBorder="1" applyAlignment="1"/>
    <xf numFmtId="0" fontId="26" fillId="2" borderId="0" xfId="0" applyFont="1" applyFill="1" applyBorder="1" applyAlignment="1">
      <alignment horizontal="left"/>
    </xf>
    <xf numFmtId="0" fontId="26" fillId="2" borderId="4" xfId="0" applyFont="1" applyFill="1" applyBorder="1"/>
    <xf numFmtId="1" fontId="26" fillId="2" borderId="0" xfId="0" applyNumberFormat="1" applyFont="1" applyFill="1" applyBorder="1" applyAlignment="1">
      <alignment horizontal="left"/>
    </xf>
    <xf numFmtId="49" fontId="26" fillId="2" borderId="0" xfId="0" applyNumberFormat="1" applyFont="1" applyFill="1" applyBorder="1" applyAlignment="1">
      <alignment horizontal="left"/>
    </xf>
    <xf numFmtId="49" fontId="0" fillId="2" borderId="0" xfId="0" applyNumberFormat="1" applyFill="1" applyAlignment="1">
      <alignment horizontal="left"/>
    </xf>
    <xf numFmtId="0" fontId="26" fillId="2" borderId="0" xfId="0" applyFont="1" applyFill="1" applyAlignment="1"/>
    <xf numFmtId="49" fontId="26" fillId="2" borderId="0" xfId="0" applyNumberFormat="1" applyFont="1" applyFill="1" applyAlignment="1">
      <alignment horizontal="left"/>
    </xf>
    <xf numFmtId="0" fontId="21" fillId="2" borderId="2" xfId="0" applyFont="1" applyFill="1" applyBorder="1"/>
    <xf numFmtId="165" fontId="0" fillId="2" borderId="0" xfId="0" applyNumberFormat="1" applyFill="1"/>
    <xf numFmtId="165" fontId="15" fillId="2" borderId="0" xfId="0" applyNumberFormat="1" applyFont="1" applyFill="1"/>
    <xf numFmtId="0" fontId="0" fillId="2" borderId="0" xfId="0" applyFill="1" applyAlignment="1">
      <alignment horizontal="left"/>
    </xf>
    <xf numFmtId="0" fontId="0" fillId="2" borderId="0" xfId="0" quotePrefix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2" fontId="26" fillId="2" borderId="0" xfId="0" applyNumberFormat="1" applyFont="1" applyFill="1" applyBorder="1"/>
    <xf numFmtId="0" fontId="28" fillId="2" borderId="0" xfId="0" applyFont="1" applyFill="1" applyBorder="1"/>
    <xf numFmtId="0" fontId="28" fillId="2" borderId="0" xfId="0" applyFont="1" applyFill="1"/>
    <xf numFmtId="0" fontId="28" fillId="3" borderId="0" xfId="0" applyFont="1" applyFill="1" applyBorder="1"/>
    <xf numFmtId="0" fontId="28" fillId="3" borderId="0" xfId="0" applyFont="1" applyFill="1"/>
    <xf numFmtId="0" fontId="0" fillId="3" borderId="0" xfId="0" applyFill="1" applyAlignment="1">
      <alignment horizontal="left"/>
    </xf>
    <xf numFmtId="0" fontId="11" fillId="4" borderId="0" xfId="0" applyFont="1" applyFill="1"/>
    <xf numFmtId="165" fontId="6" fillId="4" borderId="0" xfId="0" applyNumberFormat="1" applyFont="1" applyFill="1" applyAlignment="1">
      <alignment horizontal="right" vertical="center"/>
    </xf>
    <xf numFmtId="165" fontId="11" fillId="4" borderId="0" xfId="0" applyNumberFormat="1" applyFont="1" applyFill="1"/>
    <xf numFmtId="164" fontId="6" fillId="4" borderId="0" xfId="78" applyFont="1" applyFill="1"/>
    <xf numFmtId="0" fontId="11" fillId="4" borderId="0" xfId="0" applyFont="1" applyFill="1" applyBorder="1"/>
    <xf numFmtId="165" fontId="6" fillId="4" borderId="0" xfId="0" applyNumberFormat="1" applyFont="1" applyFill="1" applyBorder="1" applyAlignment="1">
      <alignment horizontal="right" vertical="center"/>
    </xf>
    <xf numFmtId="0" fontId="25" fillId="4" borderId="0" xfId="0" applyFont="1" applyFill="1" applyBorder="1"/>
    <xf numFmtId="165" fontId="6" fillId="4" borderId="0" xfId="78" applyNumberFormat="1" applyFont="1" applyFill="1"/>
    <xf numFmtId="165" fontId="6" fillId="4" borderId="0" xfId="78" applyNumberFormat="1" applyFont="1" applyFill="1" applyBorder="1"/>
    <xf numFmtId="0" fontId="6" fillId="4" borderId="0" xfId="78" applyNumberFormat="1" applyFont="1" applyFill="1" applyBorder="1" applyAlignment="1">
      <alignment horizontal="right" vertical="center"/>
    </xf>
    <xf numFmtId="164" fontId="6" fillId="4" borderId="0" xfId="78" applyFont="1" applyFill="1" applyBorder="1" applyAlignment="1">
      <alignment horizontal="right" vertical="center"/>
    </xf>
    <xf numFmtId="0" fontId="12" fillId="4" borderId="0" xfId="0" applyFont="1" applyFill="1"/>
    <xf numFmtId="0" fontId="12" fillId="4" borderId="0" xfId="0" applyFont="1" applyFill="1" applyBorder="1"/>
    <xf numFmtId="164" fontId="12" fillId="4" borderId="0" xfId="78" applyFont="1" applyFill="1"/>
    <xf numFmtId="165" fontId="12" fillId="4" borderId="0" xfId="0" applyNumberFormat="1" applyFont="1" applyFill="1"/>
    <xf numFmtId="0" fontId="27" fillId="2" borderId="0" xfId="78" applyNumberFormat="1" applyFont="1" applyFill="1" applyBorder="1" applyAlignment="1">
      <alignment horizontal="right" vertical="center"/>
    </xf>
    <xf numFmtId="165" fontId="11" fillId="2" borderId="0" xfId="78" applyNumberFormat="1" applyFont="1" applyFill="1" applyBorder="1" applyAlignment="1">
      <alignment vertical="center"/>
    </xf>
    <xf numFmtId="164" fontId="9" fillId="2" borderId="0" xfId="78" applyFon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right"/>
    </xf>
    <xf numFmtId="0" fontId="9" fillId="2" borderId="5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center" vertical="center"/>
    </xf>
    <xf numFmtId="165" fontId="11" fillId="3" borderId="0" xfId="78" applyNumberFormat="1" applyFont="1" applyFill="1" applyBorder="1" applyAlignment="1">
      <alignment vertical="center"/>
    </xf>
    <xf numFmtId="0" fontId="11" fillId="3" borderId="0" xfId="0" applyFont="1" applyFill="1" applyBorder="1" applyAlignment="1">
      <alignment horizontal="center" vertical="center"/>
    </xf>
    <xf numFmtId="164" fontId="9" fillId="3" borderId="0" xfId="78" applyFont="1" applyFill="1" applyBorder="1" applyAlignment="1">
      <alignment horizontal="center" vertical="center"/>
    </xf>
    <xf numFmtId="167" fontId="13" fillId="5" borderId="1" xfId="0" applyNumberFormat="1" applyFont="1" applyFill="1" applyBorder="1"/>
    <xf numFmtId="0" fontId="29" fillId="4" borderId="0" xfId="0" applyFont="1" applyFill="1"/>
    <xf numFmtId="0" fontId="29" fillId="2" borderId="0" xfId="0" applyFont="1" applyFill="1"/>
    <xf numFmtId="0" fontId="7" fillId="4" borderId="0" xfId="0" applyFont="1" applyFill="1"/>
    <xf numFmtId="0" fontId="2" fillId="2" borderId="1" xfId="0" applyFont="1" applyFill="1" applyBorder="1"/>
    <xf numFmtId="0" fontId="16" fillId="2" borderId="1" xfId="0" applyFont="1" applyFill="1" applyBorder="1"/>
    <xf numFmtId="165" fontId="2" fillId="2" borderId="1" xfId="0" applyNumberFormat="1" applyFont="1" applyFill="1" applyBorder="1"/>
    <xf numFmtId="0" fontId="7" fillId="2" borderId="1" xfId="78" applyNumberFormat="1" applyFont="1" applyFill="1" applyBorder="1" applyAlignment="1">
      <alignment horizontal="right" vertical="center"/>
    </xf>
    <xf numFmtId="165" fontId="16" fillId="2" borderId="1" xfId="0" applyNumberFormat="1" applyFont="1" applyFill="1" applyBorder="1"/>
    <xf numFmtId="165" fontId="13" fillId="2" borderId="1" xfId="0" applyNumberFormat="1" applyFont="1" applyFill="1" applyBorder="1"/>
    <xf numFmtId="164" fontId="13" fillId="2" borderId="1" xfId="78" applyFont="1" applyFill="1" applyBorder="1"/>
    <xf numFmtId="0" fontId="33" fillId="6" borderId="0" xfId="0" applyFont="1" applyFill="1"/>
    <xf numFmtId="0" fontId="10" fillId="6" borderId="0" xfId="0" applyFont="1" applyFill="1"/>
    <xf numFmtId="0" fontId="34" fillId="2" borderId="0" xfId="0" applyFont="1" applyFill="1" applyBorder="1"/>
    <xf numFmtId="165" fontId="27" fillId="4" borderId="0" xfId="78" applyNumberFormat="1" applyFont="1" applyFill="1"/>
    <xf numFmtId="0" fontId="25" fillId="4" borderId="0" xfId="0" applyFont="1" applyFill="1"/>
    <xf numFmtId="0" fontId="34" fillId="4" borderId="0" xfId="0" applyFont="1" applyFill="1" applyBorder="1"/>
    <xf numFmtId="0" fontId="30" fillId="7" borderId="0" xfId="0" applyFont="1" applyFill="1"/>
    <xf numFmtId="0" fontId="31" fillId="7" borderId="0" xfId="0" applyFont="1" applyFill="1"/>
    <xf numFmtId="165" fontId="30" fillId="7" borderId="0" xfId="0" applyNumberFormat="1" applyFont="1" applyFill="1"/>
    <xf numFmtId="0" fontId="30" fillId="7" borderId="0" xfId="0" applyFont="1" applyFill="1" applyAlignment="1">
      <alignment horizontal="right" vertical="center"/>
    </xf>
    <xf numFmtId="165" fontId="31" fillId="7" borderId="0" xfId="0" applyNumberFormat="1" applyFont="1" applyFill="1"/>
    <xf numFmtId="164" fontId="30" fillId="7" borderId="0" xfId="0" applyNumberFormat="1" applyFont="1" applyFill="1"/>
    <xf numFmtId="0" fontId="32" fillId="7" borderId="0" xfId="0" applyFont="1" applyFill="1"/>
    <xf numFmtId="0" fontId="10" fillId="2" borderId="0" xfId="0" applyFont="1" applyFill="1" applyAlignment="1"/>
    <xf numFmtId="0" fontId="2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1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6" fillId="8" borderId="0" xfId="0" applyFont="1" applyFill="1"/>
    <xf numFmtId="0" fontId="11" fillId="8" borderId="0" xfId="0" applyFont="1" applyFill="1"/>
    <xf numFmtId="164" fontId="6" fillId="8" borderId="0" xfId="78" applyFont="1" applyFill="1" applyAlignment="1">
      <alignment horizontal="right" vertical="center"/>
    </xf>
    <xf numFmtId="165" fontId="11" fillId="8" borderId="0" xfId="0" applyNumberFormat="1" applyFont="1" applyFill="1"/>
    <xf numFmtId="165" fontId="6" fillId="8" borderId="0" xfId="78" applyNumberFormat="1" applyFont="1" applyFill="1"/>
    <xf numFmtId="165" fontId="6" fillId="8" borderId="0" xfId="0" applyNumberFormat="1" applyFont="1" applyFill="1"/>
    <xf numFmtId="164" fontId="6" fillId="8" borderId="0" xfId="78" applyFont="1" applyFill="1"/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388620</xdr:colOff>
      <xdr:row>16</xdr:row>
      <xdr:rowOff>136800</xdr:rowOff>
    </xdr:from>
    <xdr:to>
      <xdr:col>4</xdr:col>
      <xdr:colOff>388980</xdr:colOff>
      <xdr:row>16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9"/>
  <sheetViews>
    <sheetView zoomScale="110" zoomScaleNormal="110" workbookViewId="0">
      <selection sqref="A1:I2"/>
    </sheetView>
  </sheetViews>
  <sheetFormatPr baseColWidth="10" defaultColWidth="8.83203125" defaultRowHeight="16" x14ac:dyDescent="0.2"/>
  <cols>
    <col min="1" max="1" width="20.5" style="31" bestFit="1" customWidth="1"/>
    <col min="2" max="2" width="20.33203125" style="31" bestFit="1" customWidth="1"/>
    <col min="3" max="3" width="19.33203125" style="31" bestFit="1" customWidth="1"/>
    <col min="4" max="4" width="22.33203125" style="31" bestFit="1" customWidth="1"/>
    <col min="5" max="5" width="12.1640625" style="31" bestFit="1" customWidth="1"/>
    <col min="6" max="6" width="11" style="31" customWidth="1"/>
    <col min="7" max="7" width="11.5" style="31" bestFit="1" customWidth="1"/>
    <col min="8" max="8" width="16.83203125" style="31" bestFit="1" customWidth="1"/>
    <col min="9" max="9" width="15.33203125" style="31" bestFit="1" customWidth="1"/>
    <col min="10" max="10" width="11.1640625" style="31" bestFit="1" customWidth="1"/>
    <col min="11" max="11" width="11.6640625" style="31" bestFit="1" customWidth="1"/>
    <col min="12" max="12" width="15.83203125" style="31" bestFit="1" customWidth="1"/>
    <col min="13" max="258" width="11" style="31" customWidth="1"/>
    <col min="259" max="16384" width="8.83203125" style="31"/>
  </cols>
  <sheetData>
    <row r="1" spans="1:12" x14ac:dyDescent="0.2">
      <c r="A1" s="157" t="str">
        <f>+SUMMARY!A7</f>
        <v>PAYROLL 25TH JUNE - 21 JULY 22 UGLY DUMPLING  TEAM</v>
      </c>
      <c r="B1" s="157"/>
      <c r="C1" s="157"/>
      <c r="D1" s="157"/>
      <c r="E1" s="157"/>
      <c r="F1" s="157"/>
      <c r="G1" s="157"/>
      <c r="H1" s="157"/>
      <c r="I1" s="157"/>
    </row>
    <row r="2" spans="1:12" x14ac:dyDescent="0.2">
      <c r="A2" s="157"/>
      <c r="B2" s="157"/>
      <c r="C2" s="157"/>
      <c r="D2" s="157"/>
      <c r="E2" s="157"/>
      <c r="F2" s="157"/>
      <c r="G2" s="157"/>
      <c r="H2" s="157"/>
      <c r="I2" s="157"/>
    </row>
    <row r="4" spans="1:12" x14ac:dyDescent="0.2">
      <c r="A4" s="32"/>
      <c r="B4" s="32"/>
      <c r="C4" s="32"/>
      <c r="D4" s="32"/>
      <c r="E4" s="32"/>
      <c r="F4" s="32"/>
      <c r="G4" s="32"/>
      <c r="H4" s="32"/>
      <c r="I4" s="32"/>
    </row>
    <row r="5" spans="1:12" x14ac:dyDescent="0.2">
      <c r="A5" s="48" t="s">
        <v>0</v>
      </c>
      <c r="B5" s="48" t="s">
        <v>1</v>
      </c>
      <c r="C5" s="48" t="s">
        <v>2</v>
      </c>
      <c r="D5" s="48" t="s">
        <v>59</v>
      </c>
      <c r="E5" s="48" t="s">
        <v>65</v>
      </c>
      <c r="F5" s="48" t="s">
        <v>5</v>
      </c>
      <c r="G5" s="48" t="s">
        <v>60</v>
      </c>
      <c r="H5" s="48" t="s">
        <v>68</v>
      </c>
      <c r="I5" s="48" t="s">
        <v>61</v>
      </c>
      <c r="J5" s="48" t="s">
        <v>62</v>
      </c>
      <c r="K5" s="48" t="s">
        <v>63</v>
      </c>
      <c r="L5" s="48" t="s">
        <v>64</v>
      </c>
    </row>
    <row r="6" spans="1:12" x14ac:dyDescent="0.2">
      <c r="A6" s="4" t="s">
        <v>16</v>
      </c>
      <c r="B6" s="4" t="s">
        <v>44</v>
      </c>
      <c r="C6" s="4" t="s">
        <v>45</v>
      </c>
      <c r="D6" s="52" t="s">
        <v>11</v>
      </c>
      <c r="E6" s="75">
        <v>9.5</v>
      </c>
      <c r="F6" s="52">
        <v>175.35</v>
      </c>
      <c r="G6" s="53">
        <f>E6*F6</f>
        <v>1665.825</v>
      </c>
      <c r="H6" s="54">
        <v>70</v>
      </c>
      <c r="I6" s="55"/>
      <c r="J6" s="4"/>
      <c r="K6" s="65">
        <v>2.5</v>
      </c>
      <c r="L6" s="4"/>
    </row>
    <row r="7" spans="1:12" x14ac:dyDescent="0.2">
      <c r="A7" s="162" t="s">
        <v>165</v>
      </c>
      <c r="B7" s="162" t="s">
        <v>166</v>
      </c>
      <c r="C7" s="162" t="s">
        <v>167</v>
      </c>
      <c r="D7" s="163" t="s">
        <v>168</v>
      </c>
      <c r="E7" s="164"/>
      <c r="F7" s="163"/>
      <c r="G7" s="165">
        <v>219.69</v>
      </c>
      <c r="H7" s="166"/>
      <c r="I7" s="167"/>
      <c r="J7" s="162"/>
      <c r="K7" s="168"/>
      <c r="L7" s="162"/>
    </row>
    <row r="8" spans="1:12" x14ac:dyDescent="0.2">
      <c r="A8" s="4" t="s">
        <v>112</v>
      </c>
      <c r="B8" s="52" t="s">
        <v>33</v>
      </c>
      <c r="C8" s="52" t="s">
        <v>34</v>
      </c>
      <c r="D8" s="52" t="s">
        <v>11</v>
      </c>
      <c r="E8" s="75">
        <v>10.5</v>
      </c>
      <c r="F8" s="52"/>
      <c r="G8" s="53">
        <f t="shared" ref="G8:G21" si="0">E8*F8</f>
        <v>0</v>
      </c>
      <c r="H8" s="54"/>
      <c r="I8" s="55"/>
      <c r="J8" s="4"/>
      <c r="K8" s="65"/>
      <c r="L8" s="4" t="s">
        <v>169</v>
      </c>
    </row>
    <row r="9" spans="1:12" x14ac:dyDescent="0.2">
      <c r="A9" s="9" t="s">
        <v>112</v>
      </c>
      <c r="B9" s="111" t="s">
        <v>30</v>
      </c>
      <c r="C9" s="111" t="s">
        <v>31</v>
      </c>
      <c r="D9" s="107" t="s">
        <v>11</v>
      </c>
      <c r="E9" s="117">
        <v>10</v>
      </c>
      <c r="F9" s="9">
        <v>174.87</v>
      </c>
      <c r="G9" s="109">
        <f t="shared" si="0"/>
        <v>1748.7</v>
      </c>
      <c r="H9" s="114">
        <v>140</v>
      </c>
      <c r="I9" s="8"/>
      <c r="J9" s="7"/>
      <c r="K9" s="110"/>
      <c r="L9" s="7"/>
    </row>
    <row r="10" spans="1:12" x14ac:dyDescent="0.2">
      <c r="A10" s="57" t="s">
        <v>172</v>
      </c>
      <c r="B10" s="58" t="s">
        <v>46</v>
      </c>
      <c r="C10" s="58" t="s">
        <v>47</v>
      </c>
      <c r="D10" s="52" t="s">
        <v>11</v>
      </c>
      <c r="E10" s="76">
        <v>10</v>
      </c>
      <c r="F10" s="57">
        <v>175.57</v>
      </c>
      <c r="G10" s="53">
        <f t="shared" si="0"/>
        <v>1755.6999999999998</v>
      </c>
      <c r="H10" s="54">
        <v>100</v>
      </c>
      <c r="I10" s="55"/>
      <c r="J10" s="4"/>
      <c r="K10" s="65">
        <v>3.5</v>
      </c>
      <c r="L10" s="4" t="s">
        <v>135</v>
      </c>
    </row>
    <row r="11" spans="1:12" ht="17" customHeight="1" x14ac:dyDescent="0.2">
      <c r="A11" s="7" t="s">
        <v>112</v>
      </c>
      <c r="B11" s="9" t="s">
        <v>93</v>
      </c>
      <c r="C11" s="7" t="s">
        <v>94</v>
      </c>
      <c r="D11" s="107" t="s">
        <v>11</v>
      </c>
      <c r="E11" s="110">
        <v>10.5</v>
      </c>
      <c r="F11" s="116">
        <v>176.56</v>
      </c>
      <c r="G11" s="109">
        <f t="shared" si="0"/>
        <v>1853.88</v>
      </c>
      <c r="H11" s="8">
        <v>90</v>
      </c>
      <c r="I11" s="8"/>
      <c r="J11" s="7"/>
      <c r="K11" s="110">
        <v>3</v>
      </c>
      <c r="L11" s="7"/>
    </row>
    <row r="12" spans="1:12" ht="17" customHeight="1" x14ac:dyDescent="0.2">
      <c r="A12" s="4" t="s">
        <v>16</v>
      </c>
      <c r="B12" s="57" t="s">
        <v>67</v>
      </c>
      <c r="C12" s="4" t="s">
        <v>66</v>
      </c>
      <c r="D12" s="52" t="s">
        <v>11</v>
      </c>
      <c r="E12" s="65">
        <v>8.5</v>
      </c>
      <c r="F12" s="61">
        <v>97</v>
      </c>
      <c r="G12" s="53">
        <f t="shared" si="0"/>
        <v>824.5</v>
      </c>
      <c r="H12" s="55"/>
      <c r="I12" s="55"/>
      <c r="J12" s="4"/>
      <c r="K12" s="65">
        <v>1</v>
      </c>
      <c r="L12" s="4"/>
    </row>
    <row r="13" spans="1:12" ht="17" customHeight="1" x14ac:dyDescent="0.2">
      <c r="A13" s="7" t="s">
        <v>16</v>
      </c>
      <c r="B13" s="9" t="s">
        <v>88</v>
      </c>
      <c r="C13" s="7" t="s">
        <v>89</v>
      </c>
      <c r="D13" s="107" t="s">
        <v>11</v>
      </c>
      <c r="E13" s="110">
        <v>8</v>
      </c>
      <c r="F13" s="116">
        <v>120.64</v>
      </c>
      <c r="G13" s="109">
        <f t="shared" si="0"/>
        <v>965.12</v>
      </c>
      <c r="H13" s="8"/>
      <c r="I13" s="8"/>
      <c r="J13" s="7"/>
      <c r="K13" s="110">
        <v>1</v>
      </c>
      <c r="L13" s="7"/>
    </row>
    <row r="14" spans="1:12" ht="17" customHeight="1" x14ac:dyDescent="0.2">
      <c r="A14" s="10" t="s">
        <v>16</v>
      </c>
      <c r="B14" s="51" t="s">
        <v>136</v>
      </c>
      <c r="C14" s="10" t="s">
        <v>137</v>
      </c>
      <c r="D14" s="52" t="s">
        <v>11</v>
      </c>
      <c r="E14" s="56">
        <v>9</v>
      </c>
      <c r="F14" s="61">
        <v>168.3</v>
      </c>
      <c r="G14" s="53">
        <f t="shared" si="0"/>
        <v>1514.7</v>
      </c>
      <c r="H14" s="60"/>
      <c r="I14" s="60"/>
      <c r="J14" s="10"/>
      <c r="K14" s="56">
        <v>1</v>
      </c>
      <c r="L14" s="10"/>
    </row>
    <row r="15" spans="1:12" ht="17" customHeight="1" x14ac:dyDescent="0.2">
      <c r="A15" s="118" t="s">
        <v>16</v>
      </c>
      <c r="B15" s="119" t="s">
        <v>98</v>
      </c>
      <c r="C15" s="118" t="s">
        <v>99</v>
      </c>
      <c r="D15" s="107" t="s">
        <v>11</v>
      </c>
      <c r="E15" s="120">
        <v>9</v>
      </c>
      <c r="F15" s="116">
        <v>90.41</v>
      </c>
      <c r="G15" s="109">
        <f t="shared" si="0"/>
        <v>813.68999999999994</v>
      </c>
      <c r="H15" s="121"/>
      <c r="I15" s="121"/>
      <c r="J15" s="118"/>
      <c r="K15" s="120">
        <v>1</v>
      </c>
      <c r="L15" s="118"/>
    </row>
    <row r="16" spans="1:12" ht="17" customHeight="1" x14ac:dyDescent="0.2">
      <c r="A16" s="10" t="s">
        <v>16</v>
      </c>
      <c r="B16" s="51" t="s">
        <v>113</v>
      </c>
      <c r="C16" s="10" t="s">
        <v>114</v>
      </c>
      <c r="D16" s="52" t="s">
        <v>11</v>
      </c>
      <c r="E16" s="56">
        <v>9</v>
      </c>
      <c r="F16" s="61">
        <v>106.35</v>
      </c>
      <c r="G16" s="53">
        <f t="shared" si="0"/>
        <v>957.15</v>
      </c>
      <c r="H16" s="60"/>
      <c r="I16" s="60"/>
      <c r="J16" s="10"/>
      <c r="K16" s="56">
        <v>0.5</v>
      </c>
      <c r="L16" s="10"/>
    </row>
    <row r="17" spans="1:19" ht="17" customHeight="1" x14ac:dyDescent="0.2">
      <c r="A17" s="118" t="s">
        <v>16</v>
      </c>
      <c r="B17" s="119" t="s">
        <v>115</v>
      </c>
      <c r="C17" s="118" t="s">
        <v>116</v>
      </c>
      <c r="D17" s="107" t="s">
        <v>11</v>
      </c>
      <c r="E17" s="120">
        <v>9.5</v>
      </c>
      <c r="F17" s="116">
        <v>164.23</v>
      </c>
      <c r="G17" s="109">
        <f t="shared" si="0"/>
        <v>1560.1849999999999</v>
      </c>
      <c r="H17" s="121"/>
      <c r="I17" s="121"/>
      <c r="J17" s="118"/>
      <c r="K17" s="120">
        <v>0.5</v>
      </c>
      <c r="L17" s="118"/>
    </row>
    <row r="18" spans="1:19" ht="17" customHeight="1" x14ac:dyDescent="0.2">
      <c r="A18" s="10" t="s">
        <v>16</v>
      </c>
      <c r="B18" s="51" t="s">
        <v>184</v>
      </c>
      <c r="C18" s="10" t="s">
        <v>57</v>
      </c>
      <c r="D18" s="52" t="s">
        <v>11</v>
      </c>
      <c r="E18" s="56">
        <v>9.5</v>
      </c>
      <c r="F18" s="61">
        <v>40.159999999999997</v>
      </c>
      <c r="G18" s="53">
        <f t="shared" si="0"/>
        <v>381.52</v>
      </c>
      <c r="H18" s="60"/>
      <c r="I18" s="60"/>
      <c r="J18" s="10"/>
      <c r="K18" s="56">
        <v>1</v>
      </c>
      <c r="L18" s="10" t="s">
        <v>140</v>
      </c>
    </row>
    <row r="19" spans="1:19" ht="17" customHeight="1" x14ac:dyDescent="0.2">
      <c r="A19" s="118" t="s">
        <v>16</v>
      </c>
      <c r="B19" s="119" t="s">
        <v>170</v>
      </c>
      <c r="C19" s="118" t="s">
        <v>171</v>
      </c>
      <c r="D19" s="107" t="s">
        <v>11</v>
      </c>
      <c r="E19" s="120">
        <v>8</v>
      </c>
      <c r="F19" s="116">
        <v>63.37</v>
      </c>
      <c r="G19" s="109">
        <f t="shared" si="0"/>
        <v>506.96</v>
      </c>
      <c r="H19" s="121"/>
      <c r="I19" s="121"/>
      <c r="J19" s="118"/>
      <c r="K19" s="120">
        <v>1</v>
      </c>
      <c r="L19" s="118"/>
    </row>
    <row r="20" spans="1:19" ht="17" customHeight="1" x14ac:dyDescent="0.2">
      <c r="A20" s="10" t="s">
        <v>16</v>
      </c>
      <c r="B20" s="51" t="s">
        <v>193</v>
      </c>
      <c r="C20" s="10" t="s">
        <v>194</v>
      </c>
      <c r="D20" s="52" t="s">
        <v>11</v>
      </c>
      <c r="E20" s="56">
        <v>9</v>
      </c>
      <c r="F20" s="61">
        <v>16.059999999999999</v>
      </c>
      <c r="G20" s="53">
        <f t="shared" si="0"/>
        <v>144.54</v>
      </c>
      <c r="H20" s="60"/>
      <c r="I20" s="60"/>
      <c r="J20" s="10"/>
      <c r="K20" s="56"/>
      <c r="L20" s="10" t="s">
        <v>141</v>
      </c>
    </row>
    <row r="21" spans="1:19" ht="17" customHeight="1" x14ac:dyDescent="0.2">
      <c r="A21" s="118" t="s">
        <v>16</v>
      </c>
      <c r="B21" s="119" t="s">
        <v>131</v>
      </c>
      <c r="C21" s="118" t="s">
        <v>132</v>
      </c>
      <c r="D21" s="107" t="s">
        <v>11</v>
      </c>
      <c r="E21" s="120">
        <v>8</v>
      </c>
      <c r="F21" s="116"/>
      <c r="G21" s="109">
        <f t="shared" si="0"/>
        <v>0</v>
      </c>
      <c r="H21" s="121"/>
      <c r="I21" s="121"/>
      <c r="J21" s="118"/>
      <c r="K21" s="120"/>
      <c r="L21" s="118"/>
    </row>
    <row r="22" spans="1:19" ht="17" thickBot="1" x14ac:dyDescent="0.25">
      <c r="A22" s="158"/>
      <c r="B22" s="158"/>
      <c r="C22" s="158"/>
      <c r="D22" s="158"/>
      <c r="E22" s="158"/>
      <c r="F22" s="6">
        <f>+SUM(F6:F21)</f>
        <v>1568.87</v>
      </c>
      <c r="G22" s="13">
        <f>SUM(G6:G13)</f>
        <v>9033.4150000000009</v>
      </c>
      <c r="H22" s="46">
        <f>+SUM(H6:H10)</f>
        <v>310</v>
      </c>
      <c r="I22" s="47">
        <f>+SUM(I6:I10)</f>
        <v>0</v>
      </c>
      <c r="J22" s="38"/>
      <c r="K22" s="38"/>
      <c r="L22" s="38"/>
      <c r="M22" s="39"/>
      <c r="N22" s="39"/>
      <c r="O22" s="39"/>
      <c r="P22" s="39"/>
      <c r="Q22" s="39"/>
    </row>
    <row r="23" spans="1:19" ht="17" thickTop="1" x14ac:dyDescent="0.2">
      <c r="A23" s="29"/>
      <c r="B23" s="29"/>
      <c r="C23" s="29"/>
      <c r="D23" s="29"/>
      <c r="E23" s="29"/>
      <c r="F23" s="29"/>
      <c r="G23" s="40"/>
      <c r="H23" s="29"/>
      <c r="I23" s="14"/>
      <c r="J23" s="14"/>
      <c r="K23" s="14"/>
      <c r="L23" s="14"/>
      <c r="M23" s="17"/>
      <c r="N23" s="14"/>
      <c r="O23" s="17"/>
      <c r="P23" s="34"/>
      <c r="Q23" s="36"/>
      <c r="R23" s="41"/>
      <c r="S23" s="35"/>
    </row>
    <row r="24" spans="1:19" x14ac:dyDescent="0.2">
      <c r="A24" s="156"/>
      <c r="B24" s="156"/>
      <c r="C24" s="39"/>
      <c r="D24" s="39"/>
      <c r="E24" s="39"/>
      <c r="G24" s="50"/>
      <c r="J24" s="39"/>
      <c r="K24" s="39"/>
      <c r="L24" s="39"/>
      <c r="M24" s="39"/>
      <c r="N24" s="39"/>
      <c r="O24" s="39"/>
      <c r="P24" s="39"/>
      <c r="Q24" s="39"/>
    </row>
    <row r="25" spans="1:19" x14ac:dyDescent="0.2"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</row>
    <row r="26" spans="1:19" x14ac:dyDescent="0.2">
      <c r="D26" s="39"/>
      <c r="E26" s="39"/>
      <c r="F26" s="39"/>
      <c r="G26" s="39"/>
      <c r="H26" s="39" t="s">
        <v>24</v>
      </c>
      <c r="I26" s="39"/>
      <c r="J26" s="39"/>
      <c r="K26" s="39"/>
      <c r="L26" s="39"/>
      <c r="M26" s="39"/>
      <c r="N26" s="39"/>
      <c r="O26" s="39"/>
      <c r="P26" s="39"/>
      <c r="Q26" s="39"/>
    </row>
    <row r="27" spans="1:19" x14ac:dyDescent="0.2">
      <c r="D27" s="39"/>
      <c r="E27" s="39"/>
      <c r="F27" s="39"/>
      <c r="G27" s="42"/>
      <c r="H27" s="39"/>
      <c r="I27" s="39"/>
      <c r="J27" s="39"/>
      <c r="K27" s="39"/>
      <c r="L27" s="39"/>
      <c r="M27" s="39"/>
      <c r="N27" s="39"/>
      <c r="O27" s="39"/>
      <c r="P27" s="39"/>
      <c r="Q27" s="39"/>
    </row>
    <row r="28" spans="1:19" x14ac:dyDescent="0.2">
      <c r="D28" s="39"/>
      <c r="E28" s="39"/>
      <c r="F28" s="39"/>
      <c r="G28" s="39" t="s">
        <v>29</v>
      </c>
      <c r="H28" s="39"/>
      <c r="I28" s="39"/>
      <c r="J28" s="39"/>
      <c r="K28" s="39"/>
      <c r="L28" s="39"/>
      <c r="M28" s="39"/>
      <c r="N28" s="39"/>
      <c r="O28" s="39"/>
      <c r="P28" s="39"/>
      <c r="Q28" s="39"/>
    </row>
    <row r="29" spans="1:19" x14ac:dyDescent="0.2"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</row>
  </sheetData>
  <mergeCells count="3">
    <mergeCell ref="A24:B24"/>
    <mergeCell ref="A1:I2"/>
    <mergeCell ref="A22:E22"/>
  </mergeCells>
  <phoneticPr fontId="24" type="noConversion"/>
  <printOptions gridLines="1"/>
  <pageMargins left="0.74803149606299213" right="0.74803149606299213" top="0.98425196850393704" bottom="0.98425196850393704" header="0.31496062992125984" footer="0.31496062992125984"/>
  <pageSetup paperSize="9" scale="71"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6529E-5566-FA41-9F9D-8364427311D1}">
  <dimension ref="A1:Q43"/>
  <sheetViews>
    <sheetView zoomScale="90" zoomScaleNormal="90" workbookViewId="0">
      <selection sqref="A1:I2"/>
    </sheetView>
  </sheetViews>
  <sheetFormatPr baseColWidth="10" defaultColWidth="8.83203125" defaultRowHeight="16" x14ac:dyDescent="0.2"/>
  <cols>
    <col min="1" max="1" width="20.5" style="31" bestFit="1" customWidth="1"/>
    <col min="2" max="2" width="20.33203125" style="31" bestFit="1" customWidth="1"/>
    <col min="3" max="3" width="19.33203125" style="31" bestFit="1" customWidth="1"/>
    <col min="4" max="4" width="22.33203125" style="31" bestFit="1" customWidth="1"/>
    <col min="5" max="5" width="12.1640625" style="31" bestFit="1" customWidth="1"/>
    <col min="6" max="6" width="11" style="31" customWidth="1"/>
    <col min="7" max="7" width="11.1640625" style="31" bestFit="1" customWidth="1"/>
    <col min="8" max="8" width="16.83203125" style="31" bestFit="1" customWidth="1"/>
    <col min="9" max="9" width="15.33203125" style="31" bestFit="1" customWidth="1"/>
    <col min="10" max="10" width="11.1640625" style="31" bestFit="1" customWidth="1"/>
    <col min="11" max="11" width="11.6640625" style="31" bestFit="1" customWidth="1"/>
    <col min="12" max="12" width="33.5" style="31" bestFit="1" customWidth="1"/>
    <col min="13" max="258" width="11" style="31" customWidth="1"/>
    <col min="259" max="16384" width="8.83203125" style="31"/>
  </cols>
  <sheetData>
    <row r="1" spans="1:14" x14ac:dyDescent="0.2">
      <c r="A1" s="157" t="str">
        <f>+SUMMARY!A7</f>
        <v>PAYROLL 25TH JUNE - 21 JULY 22 UGLY DUMPLING  TEAM</v>
      </c>
      <c r="B1" s="157"/>
      <c r="C1" s="157"/>
      <c r="D1" s="157"/>
      <c r="E1" s="157"/>
      <c r="F1" s="157"/>
      <c r="G1" s="157"/>
      <c r="H1" s="157"/>
      <c r="I1" s="157"/>
    </row>
    <row r="2" spans="1:14" x14ac:dyDescent="0.2">
      <c r="A2" s="157"/>
      <c r="B2" s="157"/>
      <c r="C2" s="157"/>
      <c r="D2" s="157"/>
      <c r="E2" s="157"/>
      <c r="F2" s="157"/>
      <c r="G2" s="157"/>
      <c r="H2" s="157"/>
      <c r="I2" s="157"/>
    </row>
    <row r="4" spans="1:14" x14ac:dyDescent="0.2">
      <c r="A4" s="32"/>
      <c r="B4" s="32"/>
      <c r="C4" s="32"/>
      <c r="D4" s="32"/>
      <c r="E4" s="32"/>
      <c r="F4" s="32"/>
      <c r="G4" s="32"/>
      <c r="H4" s="32"/>
      <c r="I4" s="32"/>
    </row>
    <row r="5" spans="1:14" x14ac:dyDescent="0.2">
      <c r="A5" s="48" t="s">
        <v>0</v>
      </c>
      <c r="B5" s="48" t="s">
        <v>1</v>
      </c>
      <c r="C5" s="48" t="s">
        <v>2</v>
      </c>
      <c r="D5" s="48" t="s">
        <v>59</v>
      </c>
      <c r="E5" s="48" t="s">
        <v>65</v>
      </c>
      <c r="F5" s="48" t="s">
        <v>5</v>
      </c>
      <c r="G5" s="48" t="s">
        <v>60</v>
      </c>
      <c r="H5" s="48" t="s">
        <v>68</v>
      </c>
      <c r="I5" s="48" t="s">
        <v>61</v>
      </c>
      <c r="J5" s="48" t="s">
        <v>62</v>
      </c>
      <c r="K5" s="48" t="s">
        <v>63</v>
      </c>
      <c r="L5" s="48" t="s">
        <v>64</v>
      </c>
    </row>
    <row r="6" spans="1:14" s="37" customFormat="1" x14ac:dyDescent="0.2">
      <c r="A6" s="57" t="s">
        <v>35</v>
      </c>
      <c r="B6" s="58" t="s">
        <v>36</v>
      </c>
      <c r="C6" s="58" t="s">
        <v>37</v>
      </c>
      <c r="D6" s="52" t="s">
        <v>11</v>
      </c>
      <c r="E6" s="59">
        <v>10</v>
      </c>
      <c r="F6" s="58">
        <v>31.37</v>
      </c>
      <c r="G6" s="53">
        <f>E6*F6</f>
        <v>313.7</v>
      </c>
      <c r="H6" s="62"/>
      <c r="I6" s="53"/>
      <c r="J6" s="4"/>
      <c r="K6" s="65"/>
      <c r="L6" s="29"/>
      <c r="M6" s="63"/>
      <c r="N6" s="31"/>
    </row>
    <row r="7" spans="1:14" x14ac:dyDescent="0.2">
      <c r="A7" s="7" t="s">
        <v>17</v>
      </c>
      <c r="B7" s="7" t="s">
        <v>9</v>
      </c>
      <c r="C7" s="7" t="s">
        <v>10</v>
      </c>
      <c r="D7" s="107" t="s">
        <v>11</v>
      </c>
      <c r="E7" s="108">
        <v>10.7</v>
      </c>
      <c r="F7" s="7">
        <v>159.36000000000001</v>
      </c>
      <c r="G7" s="109">
        <f t="shared" ref="G7:G33" si="0">E7*F7</f>
        <v>1705.152</v>
      </c>
      <c r="H7" s="146">
        <f>180-80</f>
        <v>100</v>
      </c>
      <c r="I7" s="8"/>
      <c r="J7" s="7"/>
      <c r="K7" s="110"/>
      <c r="L7" s="133"/>
      <c r="M7" s="63"/>
    </row>
    <row r="8" spans="1:14" x14ac:dyDescent="0.2">
      <c r="A8" s="57" t="s">
        <v>17</v>
      </c>
      <c r="B8" s="57" t="s">
        <v>27</v>
      </c>
      <c r="C8" s="57" t="s">
        <v>28</v>
      </c>
      <c r="D8" s="52" t="s">
        <v>11</v>
      </c>
      <c r="E8" s="59">
        <v>10.7</v>
      </c>
      <c r="F8" s="57">
        <v>30</v>
      </c>
      <c r="G8" s="53">
        <f t="shared" si="0"/>
        <v>321</v>
      </c>
      <c r="H8" s="54"/>
      <c r="I8" s="55"/>
      <c r="J8" s="4"/>
      <c r="K8" s="65"/>
      <c r="L8" s="134" t="s">
        <v>138</v>
      </c>
      <c r="M8" s="63"/>
    </row>
    <row r="9" spans="1:14" x14ac:dyDescent="0.2">
      <c r="A9" s="9" t="s">
        <v>22</v>
      </c>
      <c r="B9" s="111" t="s">
        <v>58</v>
      </c>
      <c r="C9" s="111" t="s">
        <v>32</v>
      </c>
      <c r="D9" s="107" t="s">
        <v>11</v>
      </c>
      <c r="E9" s="112">
        <v>10</v>
      </c>
      <c r="F9" s="113">
        <f>'Dumpling Bonus '!L8</f>
        <v>86.77000000000001</v>
      </c>
      <c r="G9" s="109">
        <f t="shared" si="0"/>
        <v>867.7</v>
      </c>
      <c r="H9" s="114"/>
      <c r="I9" s="8">
        <f>'Dumpling Bonus '!J8</f>
        <v>149.11249999999995</v>
      </c>
      <c r="J9" s="7"/>
      <c r="K9" s="110"/>
      <c r="L9" s="135"/>
      <c r="M9" s="63"/>
    </row>
    <row r="10" spans="1:14" x14ac:dyDescent="0.2">
      <c r="A10" s="4" t="s">
        <v>22</v>
      </c>
      <c r="B10" s="57" t="s">
        <v>13</v>
      </c>
      <c r="C10" s="57" t="s">
        <v>12</v>
      </c>
      <c r="D10" s="52" t="s">
        <v>11</v>
      </c>
      <c r="E10" s="59">
        <v>10</v>
      </c>
      <c r="F10" s="64">
        <f>'Dumpling Bonus '!L7</f>
        <v>92.710000000000008</v>
      </c>
      <c r="G10" s="53">
        <f t="shared" si="0"/>
        <v>927.10000000000014</v>
      </c>
      <c r="H10" s="73"/>
      <c r="I10" s="73">
        <f>'Dumpling Bonus '!J7</f>
        <v>227.58749999999998</v>
      </c>
      <c r="J10" s="4"/>
      <c r="K10" s="65"/>
      <c r="L10" s="29"/>
      <c r="M10" s="63"/>
    </row>
    <row r="11" spans="1:14" x14ac:dyDescent="0.2">
      <c r="A11" s="7" t="s">
        <v>22</v>
      </c>
      <c r="B11" s="9" t="s">
        <v>90</v>
      </c>
      <c r="C11" s="9" t="s">
        <v>91</v>
      </c>
      <c r="D11" s="107" t="s">
        <v>11</v>
      </c>
      <c r="E11" s="112">
        <v>9.5</v>
      </c>
      <c r="F11" s="113">
        <v>159.77000000000001</v>
      </c>
      <c r="G11" s="109">
        <f t="shared" si="0"/>
        <v>1517.8150000000001</v>
      </c>
      <c r="H11" s="115"/>
      <c r="I11" s="115">
        <v>50</v>
      </c>
      <c r="J11" s="7"/>
      <c r="K11" s="110"/>
      <c r="L11" s="135"/>
      <c r="M11" s="63"/>
    </row>
    <row r="12" spans="1:14" x14ac:dyDescent="0.2">
      <c r="A12" s="4" t="s">
        <v>38</v>
      </c>
      <c r="B12" s="4" t="s">
        <v>40</v>
      </c>
      <c r="C12" s="4" t="s">
        <v>41</v>
      </c>
      <c r="D12" s="52" t="s">
        <v>11</v>
      </c>
      <c r="E12" s="59">
        <v>9</v>
      </c>
      <c r="F12" s="4">
        <v>184.85</v>
      </c>
      <c r="G12" s="53">
        <f t="shared" si="0"/>
        <v>1663.6499999999999</v>
      </c>
      <c r="H12" s="55">
        <v>50</v>
      </c>
      <c r="I12" s="55"/>
      <c r="J12" s="4"/>
      <c r="K12" s="65">
        <v>1</v>
      </c>
      <c r="L12" s="29"/>
      <c r="M12" s="63"/>
    </row>
    <row r="13" spans="1:14" x14ac:dyDescent="0.2">
      <c r="A13" s="7" t="s">
        <v>51</v>
      </c>
      <c r="B13" s="7" t="s">
        <v>43</v>
      </c>
      <c r="C13" s="7" t="s">
        <v>42</v>
      </c>
      <c r="D13" s="107" t="s">
        <v>11</v>
      </c>
      <c r="E13" s="112">
        <v>9.5</v>
      </c>
      <c r="F13" s="147">
        <v>20.07</v>
      </c>
      <c r="G13" s="109">
        <f t="shared" si="0"/>
        <v>190.66499999999999</v>
      </c>
      <c r="H13" s="8"/>
      <c r="I13" s="8"/>
      <c r="J13" s="7"/>
      <c r="K13" s="110">
        <v>3</v>
      </c>
      <c r="L13" s="135"/>
      <c r="M13" s="63"/>
    </row>
    <row r="14" spans="1:14" x14ac:dyDescent="0.2">
      <c r="A14" s="4" t="s">
        <v>51</v>
      </c>
      <c r="B14" s="4" t="s">
        <v>48</v>
      </c>
      <c r="C14" s="4" t="s">
        <v>49</v>
      </c>
      <c r="D14" s="52" t="s">
        <v>11</v>
      </c>
      <c r="E14" s="59">
        <v>8.5</v>
      </c>
      <c r="F14" s="4">
        <v>0</v>
      </c>
      <c r="G14" s="53">
        <f t="shared" si="0"/>
        <v>0</v>
      </c>
      <c r="H14" s="55"/>
      <c r="I14" s="55"/>
      <c r="J14" s="4"/>
      <c r="K14" s="65">
        <v>0.5</v>
      </c>
      <c r="L14" s="29" t="s">
        <v>169</v>
      </c>
      <c r="M14" s="63"/>
    </row>
    <row r="15" spans="1:14" ht="17" customHeight="1" x14ac:dyDescent="0.2">
      <c r="A15" s="7" t="s">
        <v>51</v>
      </c>
      <c r="B15" s="9" t="s">
        <v>55</v>
      </c>
      <c r="C15" s="7" t="s">
        <v>54</v>
      </c>
      <c r="D15" s="107" t="s">
        <v>11</v>
      </c>
      <c r="E15" s="8">
        <v>9</v>
      </c>
      <c r="F15" s="116">
        <v>78.77</v>
      </c>
      <c r="G15" s="109">
        <f t="shared" si="0"/>
        <v>708.93</v>
      </c>
      <c r="H15" s="8"/>
      <c r="I15" s="8"/>
      <c r="J15" s="7"/>
      <c r="K15" s="110">
        <v>1</v>
      </c>
      <c r="L15" s="135" t="s">
        <v>141</v>
      </c>
      <c r="M15" s="63"/>
    </row>
    <row r="16" spans="1:14" ht="17" customHeight="1" x14ac:dyDescent="0.2">
      <c r="A16" s="4" t="s">
        <v>51</v>
      </c>
      <c r="B16" s="57" t="s">
        <v>56</v>
      </c>
      <c r="C16" s="4" t="s">
        <v>57</v>
      </c>
      <c r="D16" s="52" t="s">
        <v>11</v>
      </c>
      <c r="E16" s="55">
        <v>8</v>
      </c>
      <c r="F16" s="61">
        <v>38.119999999999997</v>
      </c>
      <c r="G16" s="53">
        <f t="shared" si="0"/>
        <v>304.95999999999998</v>
      </c>
      <c r="H16" s="55"/>
      <c r="I16" s="55"/>
      <c r="J16" s="4"/>
      <c r="K16" s="65">
        <v>0.5</v>
      </c>
      <c r="L16" s="29"/>
      <c r="M16" s="63"/>
    </row>
    <row r="17" spans="1:17" ht="17" customHeight="1" x14ac:dyDescent="0.2">
      <c r="A17" s="7" t="s">
        <v>51</v>
      </c>
      <c r="B17" s="9" t="s">
        <v>95</v>
      </c>
      <c r="C17" s="7" t="s">
        <v>96</v>
      </c>
      <c r="D17" s="107" t="s">
        <v>11</v>
      </c>
      <c r="E17" s="8">
        <v>8.5</v>
      </c>
      <c r="F17" s="116">
        <v>45</v>
      </c>
      <c r="G17" s="109">
        <f t="shared" si="0"/>
        <v>382.5</v>
      </c>
      <c r="H17" s="8"/>
      <c r="I17" s="8"/>
      <c r="J17" s="7"/>
      <c r="K17" s="110">
        <v>0.5</v>
      </c>
      <c r="L17" s="135" t="s">
        <v>87</v>
      </c>
      <c r="M17" s="63"/>
    </row>
    <row r="18" spans="1:17" ht="17" customHeight="1" x14ac:dyDescent="0.2">
      <c r="A18" s="4" t="s">
        <v>51</v>
      </c>
      <c r="B18" s="57" t="s">
        <v>101</v>
      </c>
      <c r="C18" s="4" t="s">
        <v>102</v>
      </c>
      <c r="D18" s="52" t="s">
        <v>11</v>
      </c>
      <c r="E18" s="55">
        <v>8</v>
      </c>
      <c r="F18" s="61">
        <v>49</v>
      </c>
      <c r="G18" s="53">
        <f t="shared" si="0"/>
        <v>392</v>
      </c>
      <c r="H18" s="55"/>
      <c r="I18" s="55"/>
      <c r="J18" s="4"/>
      <c r="K18" s="65">
        <v>1</v>
      </c>
      <c r="L18" s="29" t="s">
        <v>174</v>
      </c>
      <c r="M18" s="63"/>
    </row>
    <row r="19" spans="1:17" ht="17" customHeight="1" x14ac:dyDescent="0.2">
      <c r="A19" s="7" t="s">
        <v>51</v>
      </c>
      <c r="B19" s="9" t="s">
        <v>104</v>
      </c>
      <c r="C19" s="7" t="s">
        <v>103</v>
      </c>
      <c r="D19" s="107" t="s">
        <v>11</v>
      </c>
      <c r="E19" s="8">
        <v>10</v>
      </c>
      <c r="F19" s="116">
        <v>226.57</v>
      </c>
      <c r="G19" s="109">
        <f t="shared" si="0"/>
        <v>2265.6999999999998</v>
      </c>
      <c r="H19" s="8">
        <v>100</v>
      </c>
      <c r="I19" s="8"/>
      <c r="J19" s="7"/>
      <c r="K19" s="110">
        <v>1</v>
      </c>
      <c r="L19" s="135" t="s">
        <v>173</v>
      </c>
      <c r="M19" s="63"/>
    </row>
    <row r="20" spans="1:17" ht="17" customHeight="1" x14ac:dyDescent="0.2">
      <c r="A20" s="4" t="s">
        <v>22</v>
      </c>
      <c r="B20" s="57" t="s">
        <v>105</v>
      </c>
      <c r="C20" s="4" t="s">
        <v>106</v>
      </c>
      <c r="D20" s="52" t="s">
        <v>11</v>
      </c>
      <c r="E20" s="55">
        <v>9.5</v>
      </c>
      <c r="F20" s="61">
        <v>151.44</v>
      </c>
      <c r="G20" s="53">
        <f t="shared" si="0"/>
        <v>1438.68</v>
      </c>
      <c r="H20" s="55"/>
      <c r="I20" s="55">
        <v>50</v>
      </c>
      <c r="J20" s="4"/>
      <c r="K20" s="65"/>
      <c r="L20" s="29"/>
      <c r="M20" s="63"/>
    </row>
    <row r="21" spans="1:17" ht="17" customHeight="1" x14ac:dyDescent="0.2">
      <c r="A21" s="7" t="s">
        <v>22</v>
      </c>
      <c r="B21" s="9" t="s">
        <v>109</v>
      </c>
      <c r="C21" s="7"/>
      <c r="D21" s="107" t="s">
        <v>11</v>
      </c>
      <c r="E21" s="8">
        <v>8.5</v>
      </c>
      <c r="F21" s="116">
        <v>50</v>
      </c>
      <c r="G21" s="109">
        <f t="shared" si="0"/>
        <v>425</v>
      </c>
      <c r="H21" s="8"/>
      <c r="I21" s="8">
        <v>50</v>
      </c>
      <c r="J21" s="7"/>
      <c r="K21" s="110"/>
      <c r="L21" s="135"/>
      <c r="M21" s="63"/>
    </row>
    <row r="22" spans="1:17" ht="17" customHeight="1" x14ac:dyDescent="0.2">
      <c r="A22" s="4" t="s">
        <v>51</v>
      </c>
      <c r="B22" s="57" t="s">
        <v>126</v>
      </c>
      <c r="C22" s="4" t="s">
        <v>120</v>
      </c>
      <c r="D22" s="52" t="s">
        <v>11</v>
      </c>
      <c r="E22" s="55">
        <v>9.5</v>
      </c>
      <c r="F22" s="122">
        <v>114.5</v>
      </c>
      <c r="G22" s="53">
        <f t="shared" si="0"/>
        <v>1087.75</v>
      </c>
      <c r="H22" s="55"/>
      <c r="I22" s="55"/>
      <c r="J22" s="4"/>
      <c r="K22" s="65">
        <v>2</v>
      </c>
      <c r="L22" s="29"/>
      <c r="M22" s="63"/>
    </row>
    <row r="23" spans="1:17" ht="17" customHeight="1" x14ac:dyDescent="0.2">
      <c r="A23" s="7" t="s">
        <v>51</v>
      </c>
      <c r="B23" s="9" t="s">
        <v>127</v>
      </c>
      <c r="C23" s="7" t="s">
        <v>121</v>
      </c>
      <c r="D23" s="107" t="s">
        <v>11</v>
      </c>
      <c r="E23" s="8">
        <v>9.5</v>
      </c>
      <c r="F23" s="116">
        <v>106.03</v>
      </c>
      <c r="G23" s="109">
        <f t="shared" si="0"/>
        <v>1007.285</v>
      </c>
      <c r="H23" s="8"/>
      <c r="I23" s="8"/>
      <c r="J23" s="7"/>
      <c r="K23" s="110">
        <v>2</v>
      </c>
      <c r="L23" s="135"/>
      <c r="M23" s="63"/>
    </row>
    <row r="24" spans="1:17" ht="17" customHeight="1" x14ac:dyDescent="0.2">
      <c r="A24" s="4" t="s">
        <v>51</v>
      </c>
      <c r="B24" s="57" t="s">
        <v>117</v>
      </c>
      <c r="C24" s="4" t="s">
        <v>122</v>
      </c>
      <c r="D24" s="52" t="s">
        <v>11</v>
      </c>
      <c r="E24" s="55">
        <v>9.5</v>
      </c>
      <c r="F24" s="61">
        <v>117.76</v>
      </c>
      <c r="G24" s="53">
        <f t="shared" si="0"/>
        <v>1118.72</v>
      </c>
      <c r="H24" s="55"/>
      <c r="I24" s="55"/>
      <c r="J24" s="4"/>
      <c r="K24" s="65"/>
      <c r="L24" s="29" t="s">
        <v>190</v>
      </c>
      <c r="M24" s="63"/>
    </row>
    <row r="25" spans="1:17" ht="17" customHeight="1" x14ac:dyDescent="0.2">
      <c r="A25" s="148" t="s">
        <v>51</v>
      </c>
      <c r="B25" s="149" t="s">
        <v>175</v>
      </c>
      <c r="C25" s="149" t="s">
        <v>176</v>
      </c>
      <c r="D25" s="150" t="s">
        <v>11</v>
      </c>
      <c r="E25" s="151">
        <v>9.5</v>
      </c>
      <c r="F25" s="152">
        <v>30.43</v>
      </c>
      <c r="G25" s="153">
        <f t="shared" si="0"/>
        <v>289.08499999999998</v>
      </c>
      <c r="H25" s="151"/>
      <c r="I25" s="151"/>
      <c r="J25" s="149"/>
      <c r="K25" s="154">
        <v>1</v>
      </c>
      <c r="L25" s="155" t="s">
        <v>139</v>
      </c>
      <c r="M25" s="143"/>
      <c r="N25" s="144"/>
      <c r="O25" s="144"/>
      <c r="P25" s="144"/>
      <c r="Q25" s="144"/>
    </row>
    <row r="26" spans="1:17" ht="17" customHeight="1" x14ac:dyDescent="0.2">
      <c r="A26" s="145" t="s">
        <v>51</v>
      </c>
      <c r="B26" s="57" t="s">
        <v>177</v>
      </c>
      <c r="C26" s="4" t="s">
        <v>178</v>
      </c>
      <c r="D26" s="52" t="s">
        <v>11</v>
      </c>
      <c r="E26" s="55">
        <v>9.5</v>
      </c>
      <c r="F26" s="61"/>
      <c r="G26" s="53">
        <v>9</v>
      </c>
      <c r="H26" s="55"/>
      <c r="I26" s="55"/>
      <c r="J26" s="4"/>
      <c r="K26" s="65"/>
      <c r="L26" s="29" t="s">
        <v>139</v>
      </c>
      <c r="M26" s="63"/>
    </row>
    <row r="27" spans="1:17" ht="17" customHeight="1" x14ac:dyDescent="0.2">
      <c r="A27" s="148" t="s">
        <v>51</v>
      </c>
      <c r="B27" s="9" t="s">
        <v>179</v>
      </c>
      <c r="C27" s="7" t="s">
        <v>180</v>
      </c>
      <c r="D27" s="107" t="s">
        <v>11</v>
      </c>
      <c r="E27" s="8">
        <v>10</v>
      </c>
      <c r="F27" s="116">
        <v>49.76</v>
      </c>
      <c r="G27" s="109">
        <f t="shared" si="0"/>
        <v>497.59999999999997</v>
      </c>
      <c r="H27" s="8"/>
      <c r="I27" s="8"/>
      <c r="J27" s="7"/>
      <c r="K27" s="110">
        <v>0.5</v>
      </c>
      <c r="L27" s="135" t="s">
        <v>139</v>
      </c>
      <c r="M27" s="63"/>
    </row>
    <row r="28" spans="1:17" ht="17" customHeight="1" x14ac:dyDescent="0.2">
      <c r="A28" s="145" t="s">
        <v>51</v>
      </c>
      <c r="B28" s="57" t="s">
        <v>181</v>
      </c>
      <c r="C28" s="4" t="s">
        <v>182</v>
      </c>
      <c r="D28" s="52" t="s">
        <v>11</v>
      </c>
      <c r="E28" s="55">
        <v>8</v>
      </c>
      <c r="F28" s="61">
        <v>13</v>
      </c>
      <c r="G28" s="53">
        <f t="shared" si="0"/>
        <v>104</v>
      </c>
      <c r="H28" s="55"/>
      <c r="I28" s="55"/>
      <c r="J28" s="4"/>
      <c r="K28" s="65">
        <v>0.5</v>
      </c>
      <c r="L28" s="29" t="s">
        <v>50</v>
      </c>
      <c r="M28" s="63"/>
    </row>
    <row r="29" spans="1:17" ht="17" customHeight="1" x14ac:dyDescent="0.2">
      <c r="A29" s="148" t="s">
        <v>51</v>
      </c>
      <c r="B29" s="9" t="s">
        <v>157</v>
      </c>
      <c r="C29" s="7" t="s">
        <v>183</v>
      </c>
      <c r="D29" s="107" t="s">
        <v>11</v>
      </c>
      <c r="E29" s="8">
        <v>8</v>
      </c>
      <c r="F29" s="116">
        <v>8.1300000000000008</v>
      </c>
      <c r="G29" s="109">
        <f t="shared" si="0"/>
        <v>65.040000000000006</v>
      </c>
      <c r="H29" s="8"/>
      <c r="I29" s="8"/>
      <c r="J29" s="7"/>
      <c r="K29" s="110"/>
      <c r="L29" s="135" t="s">
        <v>140</v>
      </c>
      <c r="M29" s="63"/>
    </row>
    <row r="30" spans="1:17" ht="17" customHeight="1" x14ac:dyDescent="0.2">
      <c r="A30" s="4" t="s">
        <v>51</v>
      </c>
      <c r="B30" s="57" t="s">
        <v>128</v>
      </c>
      <c r="C30" s="4" t="s">
        <v>123</v>
      </c>
      <c r="D30" s="52" t="s">
        <v>11</v>
      </c>
      <c r="E30" s="55">
        <v>10</v>
      </c>
      <c r="F30" s="61">
        <v>115.43</v>
      </c>
      <c r="G30" s="53">
        <f t="shared" si="0"/>
        <v>1154.3000000000002</v>
      </c>
      <c r="H30" s="55"/>
      <c r="I30" s="55"/>
      <c r="J30" s="4"/>
      <c r="K30" s="65">
        <v>1</v>
      </c>
      <c r="L30" s="29" t="s">
        <v>87</v>
      </c>
      <c r="M30" s="63"/>
    </row>
    <row r="31" spans="1:17" ht="17" customHeight="1" x14ac:dyDescent="0.2">
      <c r="A31" s="7" t="s">
        <v>51</v>
      </c>
      <c r="B31" s="9" t="s">
        <v>52</v>
      </c>
      <c r="C31" s="7" t="s">
        <v>142</v>
      </c>
      <c r="D31" s="107" t="s">
        <v>11</v>
      </c>
      <c r="E31" s="8">
        <v>9.6999999999999993</v>
      </c>
      <c r="F31" s="116">
        <v>93.83</v>
      </c>
      <c r="G31" s="109">
        <f t="shared" si="0"/>
        <v>910.15099999999995</v>
      </c>
      <c r="H31" s="8">
        <v>50</v>
      </c>
      <c r="I31" s="8"/>
      <c r="J31" s="7"/>
      <c r="K31" s="110">
        <v>1</v>
      </c>
      <c r="L31" s="135"/>
      <c r="M31" s="63"/>
    </row>
    <row r="32" spans="1:17" ht="17" customHeight="1" x14ac:dyDescent="0.2">
      <c r="A32" s="4" t="s">
        <v>51</v>
      </c>
      <c r="B32" s="51" t="s">
        <v>129</v>
      </c>
      <c r="C32" s="4" t="s">
        <v>124</v>
      </c>
      <c r="D32" s="52" t="s">
        <v>11</v>
      </c>
      <c r="E32" s="55">
        <v>9.5</v>
      </c>
      <c r="F32" s="61">
        <f>95.57-10</f>
        <v>85.57</v>
      </c>
      <c r="G32" s="53">
        <f t="shared" si="0"/>
        <v>812.91499999999996</v>
      </c>
      <c r="H32" s="55"/>
      <c r="I32" s="55"/>
      <c r="J32" s="4"/>
      <c r="K32" s="65"/>
      <c r="L32" s="29" t="s">
        <v>87</v>
      </c>
      <c r="M32" s="63"/>
    </row>
    <row r="33" spans="1:17" ht="17" customHeight="1" x14ac:dyDescent="0.2">
      <c r="A33" s="7" t="s">
        <v>51</v>
      </c>
      <c r="B33" s="118" t="s">
        <v>130</v>
      </c>
      <c r="C33" s="7" t="s">
        <v>125</v>
      </c>
      <c r="D33" s="107" t="s">
        <v>11</v>
      </c>
      <c r="E33" s="8">
        <v>9.5</v>
      </c>
      <c r="F33" s="116">
        <v>134.93</v>
      </c>
      <c r="G33" s="109">
        <f t="shared" si="0"/>
        <v>1281.835</v>
      </c>
      <c r="H33" s="8"/>
      <c r="I33" s="8"/>
      <c r="J33" s="7"/>
      <c r="K33" s="110"/>
      <c r="L33" s="135" t="s">
        <v>50</v>
      </c>
      <c r="M33" s="63"/>
    </row>
    <row r="34" spans="1:17" s="136" customFormat="1" ht="17" customHeight="1" thickBot="1" x14ac:dyDescent="0.25">
      <c r="A34" s="20"/>
      <c r="C34" s="20"/>
      <c r="D34" s="137"/>
      <c r="E34" s="138"/>
      <c r="F34" s="139"/>
      <c r="G34" s="140">
        <f>SUM(G6:G33)</f>
        <v>21762.233</v>
      </c>
      <c r="H34" s="140">
        <f>SUM(H6:H33)</f>
        <v>300</v>
      </c>
      <c r="I34" s="141">
        <f>SUM(I9:I11)</f>
        <v>426.69999999999993</v>
      </c>
      <c r="J34" s="20"/>
      <c r="K34" s="142"/>
      <c r="L34" s="20"/>
    </row>
    <row r="35" spans="1:17" ht="32" customHeight="1" thickTop="1" x14ac:dyDescent="0.2">
      <c r="A35" s="30"/>
      <c r="B35" s="32"/>
      <c r="C35" s="30"/>
      <c r="D35" s="23"/>
      <c r="E35" s="44"/>
      <c r="F35" s="43"/>
      <c r="G35" s="33"/>
      <c r="H35" s="45"/>
      <c r="I35" s="45"/>
      <c r="J35" s="30"/>
      <c r="K35" s="49"/>
      <c r="L35" s="30"/>
    </row>
    <row r="36" spans="1:17" ht="17" customHeight="1" x14ac:dyDescent="0.2">
      <c r="A36" s="30"/>
      <c r="B36" s="32"/>
      <c r="C36" s="30"/>
      <c r="D36" s="23"/>
      <c r="E36" s="44"/>
      <c r="F36" s="43"/>
      <c r="G36" s="33"/>
      <c r="H36" s="45"/>
      <c r="I36" s="45"/>
      <c r="J36" s="30"/>
      <c r="K36" s="49"/>
      <c r="L36" s="30"/>
    </row>
    <row r="37" spans="1:17" ht="19" customHeight="1" x14ac:dyDescent="0.2">
      <c r="A37" s="30"/>
      <c r="B37" s="32"/>
      <c r="C37" s="30"/>
      <c r="D37" s="23"/>
      <c r="E37" s="44"/>
      <c r="F37" s="43"/>
      <c r="G37" s="33"/>
      <c r="H37" s="45"/>
      <c r="I37" s="45"/>
      <c r="J37" s="30"/>
      <c r="K37" s="49"/>
      <c r="L37" s="30"/>
    </row>
    <row r="38" spans="1:17" ht="17" customHeight="1" x14ac:dyDescent="0.2">
      <c r="A38" s="30"/>
      <c r="B38" s="32"/>
      <c r="C38" s="30"/>
      <c r="D38" s="23"/>
      <c r="E38" s="44"/>
      <c r="F38" s="43"/>
      <c r="G38" s="33"/>
      <c r="H38" s="45"/>
      <c r="I38" s="45"/>
      <c r="J38" s="30"/>
      <c r="K38" s="49"/>
      <c r="L38" s="30"/>
    </row>
    <row r="39" spans="1:17" x14ac:dyDescent="0.2"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</row>
    <row r="40" spans="1:17" x14ac:dyDescent="0.2">
      <c r="D40" s="39"/>
      <c r="E40" s="39"/>
      <c r="F40" s="39"/>
      <c r="G40" s="39"/>
      <c r="H40" s="39" t="s">
        <v>24</v>
      </c>
      <c r="I40" s="39"/>
      <c r="J40" s="39"/>
      <c r="K40" s="39"/>
      <c r="L40" s="39"/>
      <c r="M40" s="39"/>
      <c r="N40" s="39"/>
      <c r="O40" s="39"/>
      <c r="P40" s="39"/>
      <c r="Q40" s="39"/>
    </row>
    <row r="41" spans="1:17" x14ac:dyDescent="0.2">
      <c r="D41" s="39"/>
      <c r="E41" s="39"/>
      <c r="F41" s="39"/>
      <c r="G41" s="42"/>
      <c r="H41" s="39"/>
      <c r="I41" s="39"/>
      <c r="J41" s="39"/>
      <c r="K41" s="39"/>
      <c r="L41" s="39"/>
      <c r="M41" s="39"/>
      <c r="N41" s="39"/>
      <c r="O41" s="39"/>
      <c r="P41" s="39"/>
      <c r="Q41" s="39"/>
    </row>
    <row r="42" spans="1:17" x14ac:dyDescent="0.2">
      <c r="D42" s="39"/>
      <c r="E42" s="39"/>
      <c r="F42" s="39"/>
      <c r="G42" s="39" t="s">
        <v>29</v>
      </c>
      <c r="H42" s="39"/>
      <c r="I42" s="39"/>
      <c r="J42" s="39"/>
      <c r="K42" s="39"/>
      <c r="L42" s="39"/>
      <c r="M42" s="39"/>
      <c r="N42" s="39"/>
      <c r="O42" s="39"/>
      <c r="P42" s="39"/>
      <c r="Q42" s="39"/>
    </row>
    <row r="43" spans="1:17" x14ac:dyDescent="0.2"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</row>
  </sheetData>
  <mergeCells count="1">
    <mergeCell ref="A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19"/>
  <sheetViews>
    <sheetView workbookViewId="0">
      <selection activeCell="E17" sqref="E17"/>
    </sheetView>
  </sheetViews>
  <sheetFormatPr baseColWidth="10" defaultColWidth="11" defaultRowHeight="16" x14ac:dyDescent="0.2"/>
  <cols>
    <col min="1" max="1" width="2" style="2" bestFit="1" customWidth="1"/>
    <col min="2" max="2" width="23.5" style="2" customWidth="1"/>
    <col min="3" max="3" width="27" style="2" customWidth="1"/>
    <col min="4" max="16384" width="11" style="2"/>
  </cols>
  <sheetData>
    <row r="4" spans="1:9" x14ac:dyDescent="0.2">
      <c r="A4" s="10"/>
    </row>
    <row r="5" spans="1:9" x14ac:dyDescent="0.2">
      <c r="A5" s="10"/>
    </row>
    <row r="6" spans="1:9" x14ac:dyDescent="0.2">
      <c r="A6" s="10"/>
    </row>
    <row r="7" spans="1:9" x14ac:dyDescent="0.2">
      <c r="A7" s="159" t="s">
        <v>195</v>
      </c>
      <c r="B7" s="159"/>
      <c r="C7" s="159"/>
      <c r="D7" s="159"/>
      <c r="E7" s="159"/>
      <c r="F7" s="159"/>
      <c r="G7" s="159"/>
      <c r="H7" s="159"/>
      <c r="I7" s="159"/>
    </row>
    <row r="8" spans="1:9" x14ac:dyDescent="0.2">
      <c r="A8" s="159"/>
      <c r="B8" s="159"/>
      <c r="C8" s="159"/>
      <c r="D8" s="159"/>
      <c r="E8" s="159"/>
      <c r="F8" s="159"/>
      <c r="G8" s="159"/>
      <c r="H8" s="159"/>
      <c r="I8" s="159"/>
    </row>
    <row r="9" spans="1:9" x14ac:dyDescent="0.2">
      <c r="A9" s="10"/>
      <c r="E9" s="27"/>
      <c r="F9" s="15"/>
    </row>
    <row r="12" spans="1:9" x14ac:dyDescent="0.2">
      <c r="C12" s="21"/>
    </row>
    <row r="13" spans="1:9" x14ac:dyDescent="0.2">
      <c r="B13" s="24"/>
      <c r="C13" s="26" t="s">
        <v>20</v>
      </c>
    </row>
    <row r="14" spans="1:9" x14ac:dyDescent="0.2">
      <c r="B14" s="10" t="s">
        <v>8</v>
      </c>
      <c r="C14" s="19">
        <f>'FOH '!G22+BOH!G34</f>
        <v>30795.648000000001</v>
      </c>
    </row>
    <row r="15" spans="1:9" x14ac:dyDescent="0.2">
      <c r="B15" s="10" t="s">
        <v>15</v>
      </c>
      <c r="C15" s="19">
        <f>'FOH '!H22+BOH!H34</f>
        <v>610</v>
      </c>
    </row>
    <row r="16" spans="1:9" x14ac:dyDescent="0.2">
      <c r="B16" s="10" t="s">
        <v>19</v>
      </c>
      <c r="C16" s="19">
        <f>BOH!I34</f>
        <v>426.69999999999993</v>
      </c>
      <c r="E16" s="28"/>
    </row>
    <row r="17" spans="2:3" x14ac:dyDescent="0.2">
      <c r="B17" s="10" t="s">
        <v>18</v>
      </c>
      <c r="C17" s="19">
        <f>'HOLIDAYS AND NOTES'!F10</f>
        <v>2636.7999999999997</v>
      </c>
    </row>
    <row r="18" spans="2:3" ht="17" thickBot="1" x14ac:dyDescent="0.25">
      <c r="B18" s="20" t="s">
        <v>21</v>
      </c>
      <c r="C18" s="132">
        <f>SUM(C14:C17)</f>
        <v>34469.148000000001</v>
      </c>
    </row>
    <row r="19" spans="2:3" ht="17" thickTop="1" x14ac:dyDescent="0.2"/>
  </sheetData>
  <mergeCells count="1">
    <mergeCell ref="A7:I8"/>
  </mergeCells>
  <pageMargins left="0.75" right="0.75" top="1" bottom="1" header="0.5" footer="0.5"/>
  <pageSetup paperSize="9" orientation="portrait" horizontalDpi="4294967292" vertic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2"/>
  <sheetViews>
    <sheetView workbookViewId="0">
      <selection activeCell="A10" sqref="A10:XFD12"/>
    </sheetView>
  </sheetViews>
  <sheetFormatPr baseColWidth="10" defaultColWidth="8.83203125" defaultRowHeight="16" x14ac:dyDescent="0.2"/>
  <cols>
    <col min="1" max="1" width="18.1640625" style="2" customWidth="1"/>
    <col min="2" max="2" width="15.5" style="2" bestFit="1" customWidth="1"/>
    <col min="3" max="3" width="22.6640625" style="2" bestFit="1" customWidth="1"/>
    <col min="4" max="4" width="13.5" style="2" bestFit="1" customWidth="1"/>
    <col min="5" max="5" width="11.5" style="2" bestFit="1" customWidth="1"/>
    <col min="6" max="6" width="11.33203125" style="2" customWidth="1"/>
    <col min="7" max="255" width="11" style="2" customWidth="1"/>
    <col min="256" max="16384" width="8.83203125" style="2"/>
  </cols>
  <sheetData>
    <row r="1" spans="1:9" x14ac:dyDescent="0.2">
      <c r="C1" s="2" t="str">
        <f>+SUMMARY!A7</f>
        <v>PAYROLL 25TH JUNE - 21 JULY 22 UGLY DUMPLING  TEAM</v>
      </c>
    </row>
    <row r="3" spans="1:9" x14ac:dyDescent="0.2">
      <c r="A3" s="160" t="s">
        <v>6</v>
      </c>
      <c r="B3" s="160"/>
      <c r="C3" s="160"/>
      <c r="D3" s="160"/>
      <c r="E3" s="160"/>
      <c r="F3" s="160"/>
      <c r="G3" s="160"/>
    </row>
    <row r="4" spans="1:9" ht="24" x14ac:dyDescent="0.3">
      <c r="A4" s="161"/>
      <c r="B4" s="161"/>
      <c r="C4" s="161"/>
      <c r="D4" s="161"/>
      <c r="E4" s="161"/>
      <c r="F4" s="161"/>
      <c r="G4" s="161"/>
    </row>
    <row r="5" spans="1:9" x14ac:dyDescent="0.2">
      <c r="A5" s="126" t="s">
        <v>1</v>
      </c>
      <c r="B5" s="126" t="s">
        <v>2</v>
      </c>
      <c r="C5" s="126" t="s">
        <v>3</v>
      </c>
      <c r="D5" s="126" t="s">
        <v>4</v>
      </c>
      <c r="E5" s="126" t="s">
        <v>5</v>
      </c>
      <c r="F5" s="126" t="s">
        <v>7</v>
      </c>
      <c r="G5" s="126" t="s">
        <v>111</v>
      </c>
    </row>
    <row r="6" spans="1:9" x14ac:dyDescent="0.2">
      <c r="A6" s="25" t="s">
        <v>33</v>
      </c>
      <c r="B6" s="11"/>
      <c r="C6" s="11"/>
      <c r="D6" s="123">
        <v>10.7</v>
      </c>
      <c r="E6" s="22">
        <f>14*8</f>
        <v>112</v>
      </c>
      <c r="F6" s="124">
        <f>D6*E6</f>
        <v>1198.3999999999999</v>
      </c>
      <c r="G6" s="11"/>
    </row>
    <row r="7" spans="1:9" x14ac:dyDescent="0.2">
      <c r="A7" s="127" t="s">
        <v>67</v>
      </c>
      <c r="B7" s="128"/>
      <c r="C7" s="128"/>
      <c r="D7" s="129">
        <v>9.5</v>
      </c>
      <c r="E7" s="130">
        <f>7*8</f>
        <v>56</v>
      </c>
      <c r="F7" s="131">
        <f t="shared" ref="F7:F9" si="0">D7*E7</f>
        <v>532</v>
      </c>
      <c r="G7" s="128"/>
    </row>
    <row r="8" spans="1:9" x14ac:dyDescent="0.2">
      <c r="A8" s="25" t="s">
        <v>191</v>
      </c>
      <c r="B8" s="11"/>
      <c r="C8" s="11"/>
      <c r="D8" s="123">
        <v>8.5</v>
      </c>
      <c r="E8" s="22">
        <f>2*8</f>
        <v>16</v>
      </c>
      <c r="F8" s="124">
        <f t="shared" si="0"/>
        <v>136</v>
      </c>
      <c r="G8" s="11"/>
    </row>
    <row r="9" spans="1:9" x14ac:dyDescent="0.2">
      <c r="A9" s="127" t="s">
        <v>133</v>
      </c>
      <c r="B9" s="128"/>
      <c r="C9" s="128"/>
      <c r="D9" s="129">
        <v>10.7</v>
      </c>
      <c r="E9" s="130">
        <f>9*8</f>
        <v>72</v>
      </c>
      <c r="F9" s="131">
        <f t="shared" si="0"/>
        <v>770.4</v>
      </c>
      <c r="G9" s="128"/>
    </row>
    <row r="10" spans="1:9" ht="17" thickBot="1" x14ac:dyDescent="0.25">
      <c r="A10" s="5" t="s">
        <v>7</v>
      </c>
      <c r="B10" s="6"/>
      <c r="C10" s="6"/>
      <c r="D10" s="6"/>
      <c r="E10" s="6"/>
      <c r="F10" s="12">
        <f>+SUM(F6:F9)</f>
        <v>2636.7999999999997</v>
      </c>
      <c r="G10" s="125"/>
    </row>
    <row r="11" spans="1:9" ht="17" thickTop="1" x14ac:dyDescent="0.2">
      <c r="A11" s="16"/>
      <c r="B11" s="14"/>
      <c r="C11" s="14"/>
      <c r="D11" s="14"/>
      <c r="E11" s="14"/>
      <c r="F11" s="17"/>
      <c r="G11" s="3"/>
    </row>
    <row r="12" spans="1:9" x14ac:dyDescent="0.2">
      <c r="A12" s="160"/>
      <c r="B12" s="160"/>
      <c r="C12" s="160"/>
      <c r="D12" s="160"/>
      <c r="E12" s="160"/>
      <c r="F12" s="160"/>
      <c r="G12" s="160"/>
      <c r="H12" s="4"/>
      <c r="I12" s="3"/>
    </row>
  </sheetData>
  <mergeCells count="3">
    <mergeCell ref="A12:G12"/>
    <mergeCell ref="A4:G4"/>
    <mergeCell ref="A3:G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L26"/>
  <sheetViews>
    <sheetView tabSelected="1" topLeftCell="A6" zoomScale="120" zoomScaleNormal="120" workbookViewId="0">
      <selection activeCell="B20" sqref="B20"/>
    </sheetView>
  </sheetViews>
  <sheetFormatPr baseColWidth="10" defaultColWidth="9" defaultRowHeight="16" x14ac:dyDescent="0.2"/>
  <cols>
    <col min="1" max="1" width="27.33203125" style="2" bestFit="1" customWidth="1"/>
    <col min="2" max="2" width="48" style="2" bestFit="1" customWidth="1"/>
    <col min="3" max="3" width="10.83203125" style="2" bestFit="1" customWidth="1"/>
    <col min="4" max="4" width="9" style="2"/>
    <col min="5" max="5" width="14.83203125" style="2" bestFit="1" customWidth="1"/>
    <col min="6" max="6" width="10.83203125" style="2" bestFit="1" customWidth="1"/>
    <col min="7" max="7" width="12.5" style="2" bestFit="1" customWidth="1"/>
    <col min="8" max="8" width="14.1640625" style="2" bestFit="1" customWidth="1"/>
    <col min="9" max="9" width="17.33203125" style="2" bestFit="1" customWidth="1"/>
    <col min="10" max="10" width="19.83203125" style="2" bestFit="1" customWidth="1"/>
    <col min="11" max="11" width="12.1640625" style="2" bestFit="1" customWidth="1"/>
    <col min="12" max="16384" width="9" style="2"/>
  </cols>
  <sheetData>
    <row r="1" spans="1:12" x14ac:dyDescent="0.2">
      <c r="B1" s="2" t="str">
        <f>+SUMMARY!A7</f>
        <v>PAYROLL 25TH JUNE - 21 JULY 22 UGLY DUMPLING  TEAM</v>
      </c>
    </row>
    <row r="2" spans="1:12" x14ac:dyDescent="0.2">
      <c r="A2" s="31" t="s">
        <v>14</v>
      </c>
      <c r="B2" s="31"/>
    </row>
    <row r="4" spans="1:12" x14ac:dyDescent="0.2">
      <c r="A4" s="77"/>
      <c r="B4" s="78"/>
      <c r="C4" s="79"/>
      <c r="D4" s="79"/>
      <c r="E4" s="79"/>
      <c r="F4" s="79"/>
      <c r="G4" s="79"/>
      <c r="H4" s="79"/>
      <c r="I4" s="79"/>
      <c r="J4" s="79"/>
      <c r="K4" s="79"/>
      <c r="L4" s="80"/>
    </row>
    <row r="5" spans="1:12" x14ac:dyDescent="0.2">
      <c r="A5" s="77"/>
      <c r="B5" s="78"/>
      <c r="C5" s="79"/>
      <c r="D5" s="79"/>
      <c r="E5" s="79"/>
      <c r="F5" s="79"/>
      <c r="G5" s="79"/>
      <c r="H5" s="79"/>
      <c r="I5" s="79"/>
      <c r="J5" s="79"/>
      <c r="K5" s="79"/>
      <c r="L5" s="80"/>
    </row>
    <row r="6" spans="1:12" x14ac:dyDescent="0.2">
      <c r="A6" s="77"/>
      <c r="B6" s="78"/>
      <c r="C6" s="79"/>
      <c r="D6" s="79"/>
      <c r="E6" s="79"/>
      <c r="F6" s="79"/>
      <c r="G6" s="79"/>
      <c r="H6" s="79"/>
      <c r="I6" s="79"/>
      <c r="J6" s="79"/>
      <c r="K6" s="79"/>
      <c r="L6" s="80"/>
    </row>
    <row r="7" spans="1:12" x14ac:dyDescent="0.2">
      <c r="A7" s="77"/>
      <c r="B7" s="79"/>
      <c r="C7" s="79"/>
      <c r="D7" s="79"/>
      <c r="E7" s="79"/>
      <c r="F7" s="79"/>
      <c r="G7" s="79"/>
      <c r="H7" s="79"/>
      <c r="I7" s="79"/>
      <c r="J7" s="79"/>
      <c r="K7" s="79"/>
      <c r="L7" s="80"/>
    </row>
    <row r="8" spans="1:12" x14ac:dyDescent="0.2">
      <c r="A8" s="77"/>
      <c r="B8" s="79"/>
      <c r="C8" s="79"/>
      <c r="D8" s="79"/>
      <c r="E8" s="79"/>
      <c r="F8" s="79"/>
      <c r="G8" s="79"/>
      <c r="H8" s="79"/>
      <c r="I8" s="79"/>
      <c r="J8" s="79"/>
      <c r="K8" s="79"/>
      <c r="L8" s="80"/>
    </row>
    <row r="9" spans="1:12" x14ac:dyDescent="0.2">
      <c r="A9" s="77"/>
      <c r="B9" s="79"/>
      <c r="C9" s="79"/>
      <c r="D9" s="79"/>
      <c r="E9" s="79"/>
      <c r="F9" s="79"/>
      <c r="G9" s="79"/>
      <c r="H9" s="79"/>
      <c r="I9" s="79"/>
      <c r="J9" s="79"/>
      <c r="K9" s="79"/>
      <c r="L9" s="80"/>
    </row>
    <row r="10" spans="1:12" x14ac:dyDescent="0.2">
      <c r="A10" s="77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80"/>
    </row>
    <row r="11" spans="1:12" s="83" customFormat="1" ht="19" x14ac:dyDescent="0.25">
      <c r="A11" s="81"/>
      <c r="B11" s="95" t="s">
        <v>134</v>
      </c>
      <c r="C11" s="95" t="s">
        <v>108</v>
      </c>
      <c r="D11" s="95"/>
      <c r="E11" s="95" t="s">
        <v>25</v>
      </c>
      <c r="F11" s="95" t="s">
        <v>23</v>
      </c>
      <c r="G11" s="95" t="s">
        <v>26</v>
      </c>
      <c r="H11" s="95" t="s">
        <v>119</v>
      </c>
      <c r="I11" s="95" t="s">
        <v>39</v>
      </c>
      <c r="J11" s="95" t="s">
        <v>53</v>
      </c>
      <c r="K11" s="95" t="s">
        <v>107</v>
      </c>
      <c r="L11" s="82"/>
    </row>
    <row r="12" spans="1:12" x14ac:dyDescent="0.2">
      <c r="A12" s="84"/>
      <c r="B12" s="102" t="s">
        <v>143</v>
      </c>
      <c r="C12" s="85" t="s">
        <v>144</v>
      </c>
      <c r="D12" s="85"/>
      <c r="E12" s="94" t="s">
        <v>192</v>
      </c>
      <c r="F12" s="86" t="s">
        <v>160</v>
      </c>
      <c r="G12" s="87"/>
      <c r="H12" s="88"/>
      <c r="I12" s="66"/>
      <c r="J12" s="66"/>
      <c r="K12" s="66"/>
      <c r="L12" s="89"/>
    </row>
    <row r="13" spans="1:12" x14ac:dyDescent="0.2">
      <c r="A13" s="84"/>
      <c r="B13" s="104" t="s">
        <v>145</v>
      </c>
      <c r="C13" s="69" t="s">
        <v>146</v>
      </c>
      <c r="D13" s="69"/>
      <c r="E13" s="74" t="s">
        <v>147</v>
      </c>
      <c r="F13" s="72" t="s">
        <v>118</v>
      </c>
      <c r="G13" s="70"/>
      <c r="H13" s="71"/>
      <c r="I13" s="67"/>
      <c r="J13" s="67"/>
      <c r="K13" s="67"/>
      <c r="L13" s="89"/>
    </row>
    <row r="14" spans="1:12" x14ac:dyDescent="0.2">
      <c r="A14" s="84"/>
      <c r="B14" s="102" t="s">
        <v>148</v>
      </c>
      <c r="C14" s="85" t="s">
        <v>149</v>
      </c>
      <c r="D14" s="85"/>
      <c r="E14" s="91" t="s">
        <v>150</v>
      </c>
      <c r="F14" s="90" t="s">
        <v>97</v>
      </c>
      <c r="G14" s="87"/>
      <c r="H14" s="88"/>
      <c r="I14" s="66"/>
      <c r="J14" s="66"/>
      <c r="K14" s="66"/>
      <c r="L14" s="89"/>
    </row>
    <row r="15" spans="1:12" x14ac:dyDescent="0.2">
      <c r="A15" s="84"/>
      <c r="B15" s="104" t="s">
        <v>151</v>
      </c>
      <c r="C15" s="69" t="s">
        <v>152</v>
      </c>
      <c r="D15" s="69"/>
      <c r="E15" s="74" t="s">
        <v>153</v>
      </c>
      <c r="F15" s="72" t="s">
        <v>100</v>
      </c>
      <c r="G15" s="70"/>
      <c r="H15" s="71"/>
      <c r="I15" s="67"/>
      <c r="J15" s="67"/>
      <c r="K15" s="67"/>
      <c r="L15" s="89"/>
    </row>
    <row r="16" spans="1:12" x14ac:dyDescent="0.2">
      <c r="A16" s="84"/>
      <c r="B16" s="102" t="s">
        <v>154</v>
      </c>
      <c r="C16" s="2" t="s">
        <v>155</v>
      </c>
      <c r="D16" s="85"/>
      <c r="E16" s="88">
        <v>70768460</v>
      </c>
      <c r="F16" s="98" t="s">
        <v>156</v>
      </c>
      <c r="G16" s="87"/>
      <c r="H16" s="88"/>
      <c r="I16" s="66"/>
      <c r="J16" s="66"/>
      <c r="K16" s="66"/>
      <c r="L16" s="89"/>
    </row>
    <row r="17" spans="1:12" x14ac:dyDescent="0.2">
      <c r="A17" s="77"/>
      <c r="B17" s="104" t="s">
        <v>157</v>
      </c>
      <c r="C17" s="69" t="s">
        <v>185</v>
      </c>
      <c r="D17" s="69"/>
      <c r="E17" s="74" t="s">
        <v>158</v>
      </c>
      <c r="F17" s="72" t="s">
        <v>159</v>
      </c>
      <c r="G17" s="70"/>
      <c r="H17" s="71"/>
      <c r="I17" s="67"/>
      <c r="J17" s="67"/>
      <c r="K17" s="67"/>
      <c r="L17" s="89"/>
    </row>
    <row r="18" spans="1:12" x14ac:dyDescent="0.2">
      <c r="A18" s="79"/>
      <c r="B18" s="102" t="s">
        <v>161</v>
      </c>
      <c r="C18" s="85" t="s">
        <v>162</v>
      </c>
      <c r="D18" s="93"/>
      <c r="E18" s="94" t="s">
        <v>163</v>
      </c>
      <c r="F18" s="86" t="s">
        <v>164</v>
      </c>
      <c r="G18" s="87"/>
      <c r="H18" s="88"/>
      <c r="I18" s="66"/>
      <c r="J18" s="101"/>
      <c r="K18" s="66"/>
      <c r="L18" s="89"/>
    </row>
    <row r="19" spans="1:12" x14ac:dyDescent="0.2">
      <c r="A19" s="77"/>
      <c r="B19" s="104" t="s">
        <v>186</v>
      </c>
      <c r="C19" s="69" t="s">
        <v>187</v>
      </c>
      <c r="D19" s="69"/>
      <c r="E19" s="74" t="s">
        <v>188</v>
      </c>
      <c r="F19" s="72" t="s">
        <v>189</v>
      </c>
      <c r="G19" s="70"/>
      <c r="H19" s="67"/>
      <c r="I19" s="67"/>
      <c r="J19" s="67"/>
      <c r="K19" s="67"/>
      <c r="L19" s="89"/>
    </row>
    <row r="20" spans="1:12" x14ac:dyDescent="0.2">
      <c r="A20" s="77"/>
      <c r="B20" s="102"/>
      <c r="C20" s="85"/>
      <c r="D20" s="85"/>
      <c r="E20" s="91"/>
      <c r="F20" s="90"/>
      <c r="G20" s="87"/>
      <c r="H20" s="66"/>
      <c r="I20" s="66"/>
      <c r="J20" s="66"/>
      <c r="K20" s="66"/>
      <c r="L20" s="89"/>
    </row>
    <row r="21" spans="1:12" x14ac:dyDescent="0.2">
      <c r="A21" s="79"/>
      <c r="B21" s="104"/>
      <c r="C21" s="69"/>
      <c r="D21" s="69"/>
      <c r="E21" s="74"/>
      <c r="F21" s="72"/>
      <c r="G21" s="1"/>
      <c r="H21" s="67"/>
      <c r="I21" s="67"/>
      <c r="J21" s="67"/>
      <c r="K21" s="67"/>
      <c r="L21" s="66"/>
    </row>
    <row r="22" spans="1:12" x14ac:dyDescent="0.2">
      <c r="A22" s="79"/>
      <c r="B22" s="102"/>
      <c r="C22" s="79"/>
      <c r="D22" s="79"/>
      <c r="E22" s="99"/>
      <c r="F22" s="100"/>
      <c r="H22" s="79"/>
      <c r="I22" s="79"/>
      <c r="J22" s="79"/>
      <c r="K22" s="79"/>
      <c r="L22" s="79"/>
    </row>
    <row r="23" spans="1:12" x14ac:dyDescent="0.2">
      <c r="B23" s="105"/>
      <c r="C23" s="18"/>
      <c r="D23" s="18"/>
      <c r="E23" s="106"/>
      <c r="F23" s="106"/>
      <c r="G23" s="18"/>
      <c r="H23" s="18"/>
      <c r="I23" s="18"/>
      <c r="J23" s="18"/>
      <c r="K23" s="18"/>
    </row>
    <row r="24" spans="1:12" x14ac:dyDescent="0.2">
      <c r="B24" s="103"/>
      <c r="E24" s="92"/>
      <c r="F24" s="98"/>
    </row>
    <row r="25" spans="1:12" x14ac:dyDescent="0.2">
      <c r="B25" s="105"/>
      <c r="C25" s="18"/>
      <c r="D25" s="18"/>
      <c r="E25" s="106"/>
      <c r="F25" s="106"/>
      <c r="G25" s="18"/>
      <c r="H25" s="18"/>
      <c r="I25" s="18"/>
      <c r="J25" s="18"/>
      <c r="K25" s="18"/>
    </row>
    <row r="26" spans="1:12" x14ac:dyDescent="0.2">
      <c r="B26" s="103"/>
      <c r="E26" s="98"/>
      <c r="F26" s="98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18"/>
  <sheetViews>
    <sheetView workbookViewId="0">
      <selection activeCell="B17" sqref="B17"/>
    </sheetView>
  </sheetViews>
  <sheetFormatPr baseColWidth="10" defaultRowHeight="16" x14ac:dyDescent="0.2"/>
  <cols>
    <col min="1" max="1" width="17.6640625" style="2" bestFit="1" customWidth="1"/>
    <col min="2" max="2" width="10.83203125" style="2"/>
    <col min="3" max="3" width="13.1640625" style="2" bestFit="1" customWidth="1"/>
    <col min="4" max="4" width="10.83203125" style="2"/>
    <col min="5" max="5" width="22.33203125" style="2" bestFit="1" customWidth="1"/>
    <col min="6" max="6" width="17.6640625" style="2" bestFit="1" customWidth="1"/>
    <col min="7" max="7" width="10.83203125" style="2"/>
    <col min="8" max="8" width="8.1640625" style="2" bestFit="1" customWidth="1"/>
    <col min="9" max="9" width="17.6640625" style="2" bestFit="1" customWidth="1"/>
    <col min="10" max="10" width="10.83203125" style="2"/>
    <col min="11" max="11" width="13.83203125" style="2" bestFit="1" customWidth="1"/>
    <col min="12" max="12" width="16" style="2" bestFit="1" customWidth="1"/>
    <col min="13" max="16384" width="10.83203125" style="2"/>
  </cols>
  <sheetData>
    <row r="6" spans="1:12" x14ac:dyDescent="0.2">
      <c r="C6" s="2" t="s">
        <v>81</v>
      </c>
      <c r="D6" s="2" t="s">
        <v>72</v>
      </c>
      <c r="E6" s="2" t="s">
        <v>82</v>
      </c>
      <c r="F6" s="2" t="s">
        <v>86</v>
      </c>
      <c r="G6" s="2" t="s">
        <v>83</v>
      </c>
      <c r="I6" s="2" t="s">
        <v>84</v>
      </c>
      <c r="J6" s="2" t="s">
        <v>76</v>
      </c>
      <c r="K6" s="2" t="s">
        <v>110</v>
      </c>
      <c r="L6" s="2" t="s">
        <v>92</v>
      </c>
    </row>
    <row r="7" spans="1:12" x14ac:dyDescent="0.2">
      <c r="B7" s="2" t="s">
        <v>69</v>
      </c>
      <c r="C7" s="2">
        <v>152.71</v>
      </c>
      <c r="D7" s="2">
        <f>$B$14*B15</f>
        <v>5400</v>
      </c>
      <c r="E7" s="2">
        <v>16905</v>
      </c>
      <c r="F7" s="2">
        <f>E7-D7</f>
        <v>11505</v>
      </c>
      <c r="G7" s="2">
        <f>C7-B15</f>
        <v>92.710000000000008</v>
      </c>
      <c r="H7" s="2">
        <f>G7*$B$13</f>
        <v>6953.2500000000009</v>
      </c>
      <c r="I7" s="2">
        <f>F7-H7</f>
        <v>4551.7499999999991</v>
      </c>
      <c r="J7" s="44">
        <f>I7*$B$12</f>
        <v>227.58749999999998</v>
      </c>
      <c r="K7" s="96">
        <f>J7/G7</f>
        <v>2.4548322726782437</v>
      </c>
      <c r="L7" s="68">
        <f>C7-B15</f>
        <v>92.710000000000008</v>
      </c>
    </row>
    <row r="8" spans="1:12" ht="17" customHeight="1" x14ac:dyDescent="0.2">
      <c r="B8" s="2" t="s">
        <v>70</v>
      </c>
      <c r="C8" s="2">
        <v>136.77000000000001</v>
      </c>
      <c r="D8" s="2">
        <f t="shared" ref="D8:D9" si="0">$B$14*B16</f>
        <v>4500</v>
      </c>
      <c r="E8" s="2">
        <v>13990</v>
      </c>
      <c r="F8" s="2">
        <f t="shared" ref="F8:F9" si="1">E8-D8</f>
        <v>9490</v>
      </c>
      <c r="G8" s="2">
        <f>C8-B16</f>
        <v>86.77000000000001</v>
      </c>
      <c r="H8" s="2">
        <f t="shared" ref="H8:H9" si="2">G8*$B$13</f>
        <v>6507.7500000000009</v>
      </c>
      <c r="I8" s="2">
        <f t="shared" ref="I8:I9" si="3">F8-H8</f>
        <v>2982.2499999999991</v>
      </c>
      <c r="J8" s="44">
        <f>I8*$B$12</f>
        <v>149.11249999999995</v>
      </c>
      <c r="K8" s="97">
        <f t="shared" ref="K8" si="4">J8/G8</f>
        <v>1.7184798893626823</v>
      </c>
      <c r="L8" s="68">
        <f>C8-B16</f>
        <v>86.77000000000001</v>
      </c>
    </row>
    <row r="9" spans="1:12" x14ac:dyDescent="0.2">
      <c r="B9" s="2" t="s">
        <v>71</v>
      </c>
      <c r="C9" s="2">
        <v>116.74</v>
      </c>
      <c r="D9" s="2">
        <f t="shared" si="0"/>
        <v>1800</v>
      </c>
      <c r="E9" s="2">
        <v>11441</v>
      </c>
      <c r="F9" s="2">
        <f t="shared" si="1"/>
        <v>9641</v>
      </c>
      <c r="G9" s="2">
        <f>C9-B17</f>
        <v>96.74</v>
      </c>
      <c r="H9" s="2">
        <f t="shared" si="2"/>
        <v>7255.5</v>
      </c>
      <c r="I9" s="2">
        <f t="shared" si="3"/>
        <v>2385.5</v>
      </c>
      <c r="J9" s="44">
        <f>I9*$B$12</f>
        <v>119.27500000000001</v>
      </c>
      <c r="K9" s="96">
        <f>J9/G9</f>
        <v>1.2329439735373167</v>
      </c>
      <c r="L9" s="68">
        <f>C9-B17</f>
        <v>96.74</v>
      </c>
    </row>
    <row r="11" spans="1:12" x14ac:dyDescent="0.2">
      <c r="A11" s="2" t="s">
        <v>77</v>
      </c>
    </row>
    <row r="12" spans="1:12" x14ac:dyDescent="0.2">
      <c r="A12" s="2" t="s">
        <v>78</v>
      </c>
      <c r="B12" s="2">
        <v>0.05</v>
      </c>
    </row>
    <row r="13" spans="1:12" x14ac:dyDescent="0.2">
      <c r="A13" s="2" t="s">
        <v>79</v>
      </c>
      <c r="B13" s="2">
        <v>75</v>
      </c>
    </row>
    <row r="14" spans="1:12" x14ac:dyDescent="0.2">
      <c r="A14" s="2" t="s">
        <v>80</v>
      </c>
      <c r="B14" s="2">
        <v>90</v>
      </c>
    </row>
    <row r="15" spans="1:12" x14ac:dyDescent="0.2">
      <c r="A15" s="31" t="s">
        <v>74</v>
      </c>
      <c r="B15" s="2">
        <v>60</v>
      </c>
    </row>
    <row r="16" spans="1:12" x14ac:dyDescent="0.2">
      <c r="A16" s="31" t="s">
        <v>73</v>
      </c>
      <c r="B16" s="2">
        <v>50</v>
      </c>
    </row>
    <row r="17" spans="1:2" x14ac:dyDescent="0.2">
      <c r="A17" s="31" t="s">
        <v>75</v>
      </c>
      <c r="B17" s="2">
        <v>20</v>
      </c>
    </row>
    <row r="18" spans="1:2" x14ac:dyDescent="0.2">
      <c r="A18" s="2" t="s">
        <v>85</v>
      </c>
      <c r="B1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FOH </vt:lpstr>
      <vt:lpstr>BOH</vt:lpstr>
      <vt:lpstr>SUMMARY</vt:lpstr>
      <vt:lpstr>HOLIDAYS AND NOTES</vt:lpstr>
      <vt:lpstr>STARTERS DETAILS </vt:lpstr>
      <vt:lpstr>Dumpling Bonus </vt:lpstr>
      <vt:lpstr>'FOH '!Print_Area</vt:lpstr>
      <vt:lpstr>'HOLIDAYS AND NOTES'!Print_Area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2022-08-23T09:46:37Z</dcterms:modified>
</cp:coreProperties>
</file>