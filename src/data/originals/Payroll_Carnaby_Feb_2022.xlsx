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"/>
    </mc:Choice>
  </mc:AlternateContent>
  <xr:revisionPtr revIDLastSave="0" documentId="13_ncr:1_{550B97E3-8337-4747-A89A-FCC26A211C4F}" xr6:coauthVersionLast="47" xr6:coauthVersionMax="47" xr10:uidLastSave="{00000000-0000-0000-0000-000000000000}"/>
  <bookViews>
    <workbookView xWindow="840" yWindow="500" windowWidth="27960" windowHeight="16440" tabRatio="500" activeTab="2" xr2:uid="{00000000-000D-0000-FFFF-FFFF00000000}"/>
  </bookViews>
  <sheets>
    <sheet name="FOH " sheetId="1" r:id="rId1"/>
    <sheet name="BOH" sheetId="5" r:id="rId2"/>
    <sheet name="SUMMARY" sheetId="3" r:id="rId3"/>
    <sheet name="HOLIDAYS AND NOTES" sheetId="2" r:id="rId4"/>
    <sheet name="NOTES " sheetId="4" r:id="rId5"/>
    <sheet name="Sheet2" sheetId="6" r:id="rId6"/>
  </sheets>
  <definedNames>
    <definedName name="_xlnm.Print_Area" localSheetId="0">'FOH '!$A$5:$G$5</definedName>
    <definedName name="_xlnm.Print_Area" localSheetId="3">'HOLIDAYS AND NOTES'!$A$4:$F$23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0" i="6" l="1"/>
  <c r="J8" i="6"/>
  <c r="J9" i="6"/>
  <c r="K9" i="6" s="1"/>
  <c r="J10" i="6"/>
  <c r="I8" i="6"/>
  <c r="I9" i="6"/>
  <c r="I10" i="6"/>
  <c r="H10" i="6"/>
  <c r="H8" i="6"/>
  <c r="H9" i="6"/>
  <c r="G8" i="6"/>
  <c r="G9" i="6"/>
  <c r="G10" i="6"/>
  <c r="F8" i="6"/>
  <c r="F9" i="6"/>
  <c r="F10" i="6"/>
  <c r="G7" i="6"/>
  <c r="F14" i="5"/>
  <c r="D9" i="6"/>
  <c r="D8" i="6"/>
  <c r="D10" i="6"/>
  <c r="G20" i="1"/>
  <c r="J7" i="6"/>
  <c r="I13" i="5"/>
  <c r="I28" i="5"/>
  <c r="C7" i="3" s="1"/>
  <c r="G27" i="1"/>
  <c r="K7" i="6"/>
  <c r="K8" i="6"/>
  <c r="H7" i="6"/>
  <c r="I7" i="6" s="1"/>
  <c r="F7" i="6"/>
  <c r="D7" i="6"/>
  <c r="F12" i="5"/>
  <c r="F13" i="5"/>
  <c r="F12" i="1" l="1"/>
  <c r="F8" i="1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6" i="5"/>
  <c r="H28" i="5"/>
  <c r="C6" i="3" s="1"/>
  <c r="G19" i="1"/>
  <c r="G18" i="1"/>
  <c r="G17" i="1"/>
  <c r="G16" i="1"/>
  <c r="G15" i="1"/>
  <c r="G14" i="1"/>
  <c r="G13" i="1"/>
  <c r="G12" i="1"/>
  <c r="G11" i="1"/>
  <c r="A1" i="5"/>
  <c r="G28" i="5" l="1"/>
  <c r="G10" i="1" l="1"/>
  <c r="G9" i="1"/>
  <c r="G8" i="1"/>
  <c r="G7" i="1"/>
  <c r="F7" i="2"/>
  <c r="G22" i="1" l="1"/>
  <c r="C5" i="3" s="1"/>
  <c r="C9" i="3" s="1"/>
  <c r="H22" i="1"/>
  <c r="I22" i="1" l="1"/>
  <c r="F22" i="1"/>
  <c r="A1" i="1"/>
  <c r="F8" i="2"/>
  <c r="F25" i="2" s="1"/>
  <c r="C8" i="3" s="1"/>
  <c r="B1" i="4"/>
  <c r="C1" i="2"/>
  <c r="G6" i="1"/>
</calcChain>
</file>

<file path=xl/sharedStrings.xml><?xml version="1.0" encoding="utf-8"?>
<sst xmlns="http://schemas.openxmlformats.org/spreadsheetml/2006/main" count="299" uniqueCount="196">
  <si>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</si>
  <si>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</si>
  <si>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</si>
  <si>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</si>
  <si>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</si>
  <si>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</si>
  <si>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</si>
  <si>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</si>
  <si>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START DATE</t>
  </si>
  <si>
    <t>LEAVE DATE</t>
  </si>
  <si>
    <t>PAYROLL TOTAL</t>
  </si>
  <si>
    <t xml:space="preserve">Dimitris </t>
  </si>
  <si>
    <t xml:space="preserve">Papachristos </t>
  </si>
  <si>
    <t xml:space="preserve">Hourly Rate </t>
  </si>
  <si>
    <t xml:space="preserve">Auntie Wing </t>
  </si>
  <si>
    <t>Auntie WING</t>
  </si>
  <si>
    <t xml:space="preserve">NOTES </t>
  </si>
  <si>
    <t xml:space="preserve">SALES TARGET BONUS </t>
  </si>
  <si>
    <t>Waitress</t>
  </si>
  <si>
    <t xml:space="preserve">Kitchen Manager </t>
  </si>
  <si>
    <t xml:space="preserve">LEAVERS HOLIDAY </t>
  </si>
  <si>
    <t>HOLIDAYS TOTAL</t>
  </si>
  <si>
    <t xml:space="preserve">DUMPLING BONUS </t>
  </si>
  <si>
    <t xml:space="preserve">TOTAL </t>
  </si>
  <si>
    <t xml:space="preserve">TOTAL PAYROLL </t>
  </si>
  <si>
    <t xml:space="preserve">STARTERS AND LEAVERS DATE </t>
  </si>
  <si>
    <t xml:space="preserve">Prod. Team </t>
  </si>
  <si>
    <t>NIN</t>
  </si>
  <si>
    <t>Sort Code</t>
  </si>
  <si>
    <t>.</t>
  </si>
  <si>
    <t>Name (New Starters )</t>
  </si>
  <si>
    <t>Bank Account</t>
  </si>
  <si>
    <t xml:space="preserve">Nationality </t>
  </si>
  <si>
    <t xml:space="preserve">Jean Carlos </t>
  </si>
  <si>
    <t>Garcia Gonzalez</t>
  </si>
  <si>
    <t xml:space="preserve">    </t>
  </si>
  <si>
    <t xml:space="preserve">Carolina </t>
  </si>
  <si>
    <t>Nunez</t>
  </si>
  <si>
    <t>Senior Chef</t>
  </si>
  <si>
    <t>Melanny Salome</t>
  </si>
  <si>
    <t>Folleco Chala</t>
  </si>
  <si>
    <t>Sau Yi</t>
  </si>
  <si>
    <t>Liu</t>
  </si>
  <si>
    <t>Cham</t>
  </si>
  <si>
    <t xml:space="preserve">Waitress </t>
  </si>
  <si>
    <t xml:space="preserve">Lissette </t>
  </si>
  <si>
    <t>Paredes</t>
  </si>
  <si>
    <t xml:space="preserve">Passaport/ID number </t>
  </si>
  <si>
    <t xml:space="preserve">Senior Chef </t>
  </si>
  <si>
    <t xml:space="preserve">Mario </t>
  </si>
  <si>
    <t xml:space="preserve">Serior Chef </t>
  </si>
  <si>
    <t>Lorna</t>
  </si>
  <si>
    <t xml:space="preserve">Lau </t>
  </si>
  <si>
    <t>Kitchen Staff</t>
  </si>
  <si>
    <t>Chef</t>
  </si>
  <si>
    <t xml:space="preserve">Setlment status </t>
  </si>
  <si>
    <t xml:space="preserve">Bruno </t>
  </si>
  <si>
    <t xml:space="preserve">Martins </t>
  </si>
  <si>
    <t>Talbott</t>
  </si>
  <si>
    <t>Savannah Jade</t>
  </si>
  <si>
    <t>Vargas Feliz</t>
  </si>
  <si>
    <t>Adalgisa</t>
  </si>
  <si>
    <t>Hui Yi (Summer)</t>
  </si>
  <si>
    <t>Tamar</t>
  </si>
  <si>
    <t>Molina Rios</t>
  </si>
  <si>
    <t>Sergio</t>
  </si>
  <si>
    <t>Ferrerosa</t>
  </si>
  <si>
    <t>Naomi Jhuliana</t>
  </si>
  <si>
    <t xml:space="preserve">Shivani </t>
  </si>
  <si>
    <t>Campbell</t>
  </si>
  <si>
    <t>Vallejos</t>
  </si>
  <si>
    <t xml:space="preserve">starter </t>
  </si>
  <si>
    <t xml:space="preserve">Junior chef </t>
  </si>
  <si>
    <t>Heidy</t>
  </si>
  <si>
    <t xml:space="preserve">Ramos </t>
  </si>
  <si>
    <t xml:space="preserve"> Share Code</t>
  </si>
  <si>
    <t>Siotor</t>
  </si>
  <si>
    <t>Chowdhury</t>
  </si>
  <si>
    <t>Milan</t>
  </si>
  <si>
    <t xml:space="preserve">Boltman </t>
  </si>
  <si>
    <t xml:space="preserve">Hubert </t>
  </si>
  <si>
    <t xml:space="preserve">Rose </t>
  </si>
  <si>
    <t xml:space="preserve">Leonor </t>
  </si>
  <si>
    <t>Blanca</t>
  </si>
  <si>
    <t>Waiter</t>
  </si>
  <si>
    <t xml:space="preserve">Marc </t>
  </si>
  <si>
    <t xml:space="preserve">starter/leaver </t>
  </si>
  <si>
    <t xml:space="preserve">Ferreira </t>
  </si>
  <si>
    <t>Wai Pink (Jess)</t>
  </si>
  <si>
    <t>Tiburcio</t>
  </si>
  <si>
    <t>Pay Comp. Description</t>
  </si>
  <si>
    <t xml:space="preserve">Sales Bobus </t>
  </si>
  <si>
    <t>Pay</t>
  </si>
  <si>
    <t>Bonus</t>
  </si>
  <si>
    <t>Status</t>
  </si>
  <si>
    <t>S.Charge</t>
  </si>
  <si>
    <t>Notes</t>
  </si>
  <si>
    <t>H. Rate</t>
  </si>
  <si>
    <t>Jermaine Browne</t>
  </si>
  <si>
    <t>JX620997B</t>
  </si>
  <si>
    <t>31926396</t>
  </si>
  <si>
    <t>09.01.28</t>
  </si>
  <si>
    <t>Stewart Mcgovern</t>
  </si>
  <si>
    <t>PJ613881B</t>
  </si>
  <si>
    <t>50739968</t>
  </si>
  <si>
    <t>30.99.32</t>
  </si>
  <si>
    <t>Aya Salah Ali Senan</t>
  </si>
  <si>
    <t>03086437</t>
  </si>
  <si>
    <t>20.74.63</t>
  </si>
  <si>
    <t>Samy Karabadja</t>
  </si>
  <si>
    <t>SX173340A</t>
  </si>
  <si>
    <t xml:space="preserve">Jithendra Meda </t>
  </si>
  <si>
    <t>NJ304901B</t>
  </si>
  <si>
    <t>88267462</t>
  </si>
  <si>
    <t>77.13.05</t>
  </si>
  <si>
    <t xml:space="preserve">Waverley Claire Vines </t>
  </si>
  <si>
    <t>PH335787D</t>
  </si>
  <si>
    <t>54001347</t>
  </si>
  <si>
    <t>09.01.29</t>
  </si>
  <si>
    <t xml:space="preserve">Sofia Miseria </t>
  </si>
  <si>
    <t>PK265027D</t>
  </si>
  <si>
    <t>37943487</t>
  </si>
  <si>
    <t>04.00.04</t>
  </si>
  <si>
    <t>WFLSJRYHY</t>
  </si>
  <si>
    <t xml:space="preserve">FRANCE </t>
  </si>
  <si>
    <t>18AD75880</t>
  </si>
  <si>
    <t>Victoria  Baumer</t>
  </si>
  <si>
    <t>NA</t>
  </si>
  <si>
    <t>Elie Derhy</t>
  </si>
  <si>
    <t>52721361</t>
  </si>
  <si>
    <t>04.00.75</t>
  </si>
  <si>
    <t>20ED95020</t>
  </si>
  <si>
    <t>WKNJKRYEX</t>
  </si>
  <si>
    <t>Maryan Najam</t>
  </si>
  <si>
    <t>SX736670C</t>
  </si>
  <si>
    <t>Rochelle Jayaraj</t>
  </si>
  <si>
    <t>07.04.36</t>
  </si>
  <si>
    <t>30869821</t>
  </si>
  <si>
    <t>20.71.82</t>
  </si>
  <si>
    <t>Algerienne</t>
  </si>
  <si>
    <t xml:space="preserve">Francese </t>
  </si>
  <si>
    <t>Senan</t>
  </si>
  <si>
    <t>Aya Salah Ali</t>
  </si>
  <si>
    <t xml:space="preserve">Karabadja </t>
  </si>
  <si>
    <t>Samy</t>
  </si>
  <si>
    <t>Vines</t>
  </si>
  <si>
    <t xml:space="preserve">Miseria </t>
  </si>
  <si>
    <t xml:space="preserve">Baumer </t>
  </si>
  <si>
    <t>Derhy</t>
  </si>
  <si>
    <t>Najam</t>
  </si>
  <si>
    <t>Jayaraj</t>
  </si>
  <si>
    <t xml:space="preserve">Rochelle </t>
  </si>
  <si>
    <t xml:space="preserve">Maryan </t>
  </si>
  <si>
    <t xml:space="preserve">Elie </t>
  </si>
  <si>
    <t xml:space="preserve">Victoria  </t>
  </si>
  <si>
    <t xml:space="preserve">Sofia </t>
  </si>
  <si>
    <t xml:space="preserve">Waverley Claire </t>
  </si>
  <si>
    <t xml:space="preserve">Bradley </t>
  </si>
  <si>
    <t>Stewart</t>
  </si>
  <si>
    <t xml:space="preserve">Jermaine </t>
  </si>
  <si>
    <t xml:space="preserve">Jithendra </t>
  </si>
  <si>
    <t>Browne</t>
  </si>
  <si>
    <t>SC894824A</t>
  </si>
  <si>
    <t xml:space="preserve">Perf. Bonus </t>
  </si>
  <si>
    <t>01625675</t>
  </si>
  <si>
    <t>40.10.15</t>
  </si>
  <si>
    <t>70443548</t>
  </si>
  <si>
    <t>LT64 3250009437013875</t>
  </si>
  <si>
    <t>AG766609B</t>
  </si>
  <si>
    <t>pay increase to £10</t>
  </si>
  <si>
    <t>pay increase to £10.5</t>
  </si>
  <si>
    <t>Mcgovern</t>
  </si>
  <si>
    <t>Meda</t>
  </si>
  <si>
    <t xml:space="preserve">Wing </t>
  </si>
  <si>
    <t>Jess</t>
  </si>
  <si>
    <t>Summer</t>
  </si>
  <si>
    <t>Cash ded</t>
  </si>
  <si>
    <t>jess</t>
  </si>
  <si>
    <t xml:space="preserve">wing </t>
  </si>
  <si>
    <t>summer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</si>
  <si>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</si>
  <si>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</si>
  <si>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</si>
  <si>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</si>
  <si>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</si>
  <si>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</si>
  <si>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</si>
  <si>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</si>
  <si>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</si>
  <si>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 xml:space="preserve">REVOLUT INT BANK </t>
  </si>
  <si>
    <t xml:space="preserve">Walker </t>
  </si>
  <si>
    <t xml:space="preserve">Leaver </t>
  </si>
  <si>
    <t>Yi</t>
  </si>
  <si>
    <t>Total minus cash ded</t>
  </si>
  <si>
    <t>starter/leaver</t>
  </si>
  <si>
    <t>PAYROLL    24th Jan 20th Feb UGLY DUMPLING 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</si>
</sst>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3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8"/>
      <color theme="1"/>
      <name val="Calibri (Body)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b/>
      <sz val="12"/>
      <color rgb="FF000000"/>
      <name val="Calibri"/>
      <family val="2"/>
      <scheme val="min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b/>
      <sz val="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b/>
      <sz val="12"/>
      <color rgb="FF92D050"/>
      <name val="Calibri"/>
      <family val="2"/>
      <scheme val="minor"/>
    </font>
    <font>
      <sz val="8"/>
      <name val="Calibri"/>
      <family val="2"/>
      <scheme val="minor"/>
    </font>
    <font>
      <sz val="10"/>
      <color theme="9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rgb="FFFF000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2" fillId="2" borderId="0" xfId="0" applyNumberFormat="1" applyFont="1" applyFill="1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7" fillId="2" borderId="0" xfId="0" applyFont="1" applyFill="1"/>
    <xf numFmtId="0" fontId="8" fillId="2" borderId="0" xfId="0" applyNumberFormat="1" applyFont="1" applyFill="1"/>
    <xf numFmtId="0" fontId="9" fillId="2" borderId="1" xfId="0" applyFont="1" applyFill="1" applyBorder="1" applyAlignment="1"/>
    <xf numFmtId="0" fontId="8" fillId="2" borderId="1" xfId="0" applyFont="1" applyFill="1" applyBorder="1"/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7" fillId="4" borderId="0" xfId="0" applyFont="1" applyFill="1"/>
    <xf numFmtId="165" fontId="7" fillId="4" borderId="0" xfId="0" applyNumberFormat="1" applyFont="1" applyFill="1"/>
    <xf numFmtId="0" fontId="7" fillId="4" borderId="0" xfId="0" applyFont="1" applyFill="1" applyBorder="1"/>
    <xf numFmtId="0" fontId="13" fillId="2" borderId="0" xfId="0" applyFont="1" applyFill="1"/>
    <xf numFmtId="0" fontId="10" fillId="2" borderId="0" xfId="0" applyFont="1" applyFill="1" applyBorder="1" applyAlignment="1">
      <alignment horizontal="center" vertical="center"/>
    </xf>
    <xf numFmtId="165" fontId="8" fillId="2" borderId="1" xfId="0" applyNumberFormat="1" applyFont="1" applyFill="1" applyBorder="1"/>
    <xf numFmtId="164" fontId="8" fillId="2" borderId="1" xfId="78" applyFont="1" applyFill="1" applyBorder="1"/>
    <xf numFmtId="0" fontId="8" fillId="2" borderId="0" xfId="0" applyFont="1" applyFill="1" applyBorder="1"/>
    <xf numFmtId="0" fontId="2" fillId="2" borderId="0" xfId="0" applyFont="1" applyFill="1" applyAlignment="1">
      <alignment horizontal="center"/>
    </xf>
    <xf numFmtId="0" fontId="9" fillId="2" borderId="0" xfId="0" applyFont="1" applyFill="1" applyBorder="1" applyAlignment="1"/>
    <xf numFmtId="165" fontId="8" fillId="2" borderId="0" xfId="0" applyNumberFormat="1" applyFont="1" applyFill="1" applyBorder="1"/>
    <xf numFmtId="0" fontId="0" fillId="3" borderId="0" xfId="0" applyFill="1"/>
    <xf numFmtId="0" fontId="2" fillId="3" borderId="0" xfId="0" applyFon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2" fillId="3" borderId="3" xfId="0" applyFont="1" applyFill="1" applyBorder="1"/>
    <xf numFmtId="167" fontId="13" fillId="2" borderId="0" xfId="0" applyNumberFormat="1" applyFont="1" applyFill="1"/>
    <xf numFmtId="0" fontId="14" fillId="2" borderId="1" xfId="0" applyFont="1" applyFill="1" applyBorder="1"/>
    <xf numFmtId="167" fontId="14" fillId="2" borderId="1" xfId="0" applyNumberFormat="1" applyFont="1" applyFill="1" applyBorder="1"/>
    <xf numFmtId="9" fontId="16" fillId="2" borderId="0" xfId="79" applyFont="1" applyFill="1"/>
    <xf numFmtId="0" fontId="15" fillId="2" borderId="0" xfId="0" applyFont="1" applyFill="1" applyAlignment="1">
      <alignment horizontal="center"/>
    </xf>
    <xf numFmtId="0" fontId="12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/>
    </xf>
    <xf numFmtId="0" fontId="17" fillId="2" borderId="0" xfId="0" applyFont="1" applyFill="1"/>
    <xf numFmtId="0" fontId="13" fillId="4" borderId="2" xfId="0" applyFont="1" applyFill="1" applyBorder="1"/>
    <xf numFmtId="0" fontId="12" fillId="2" borderId="0" xfId="0" applyFont="1" applyFill="1" applyBorder="1" applyAlignment="1">
      <alignment horizontal="left" vertical="center"/>
    </xf>
    <xf numFmtId="0" fontId="0" fillId="3" borderId="0" xfId="0" quotePrefix="1" applyFill="1"/>
    <xf numFmtId="0" fontId="12" fillId="2" borderId="0" xfId="0" applyFont="1" applyFill="1" applyBorder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12" fillId="4" borderId="0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center" vertical="center"/>
    </xf>
    <xf numFmtId="165" fontId="12" fillId="4" borderId="0" xfId="78" applyNumberFormat="1" applyFont="1" applyFill="1" applyBorder="1" applyAlignment="1">
      <alignment vertical="center"/>
    </xf>
    <xf numFmtId="0" fontId="12" fillId="4" borderId="0" xfId="0" applyFont="1" applyFill="1" applyBorder="1" applyAlignment="1">
      <alignment horizontal="center" vertical="center"/>
    </xf>
    <xf numFmtId="164" fontId="10" fillId="4" borderId="0" xfId="78" applyFont="1" applyFill="1" applyBorder="1" applyAlignment="1">
      <alignment horizontal="center" vertical="center"/>
    </xf>
    <xf numFmtId="0" fontId="0" fillId="3" borderId="0" xfId="0" applyFont="1" applyFill="1" applyBorder="1"/>
    <xf numFmtId="0" fontId="0" fillId="5" borderId="0" xfId="0" applyFill="1"/>
    <xf numFmtId="0" fontId="14" fillId="4" borderId="2" xfId="0" applyFont="1" applyFill="1" applyBorder="1" applyAlignment="1">
      <alignment horizontal="right"/>
    </xf>
    <xf numFmtId="167" fontId="0" fillId="2" borderId="0" xfId="0" applyNumberFormat="1" applyFill="1"/>
    <xf numFmtId="9" fontId="0" fillId="2" borderId="0" xfId="79" applyFont="1" applyFill="1"/>
    <xf numFmtId="0" fontId="8" fillId="2" borderId="0" xfId="0" applyFont="1" applyFill="1"/>
    <xf numFmtId="0" fontId="14" fillId="2" borderId="0" xfId="0" applyFont="1" applyFill="1"/>
    <xf numFmtId="0" fontId="2" fillId="2" borderId="0" xfId="0" applyFont="1" applyFill="1"/>
    <xf numFmtId="0" fontId="2" fillId="2" borderId="0" xfId="0" applyFont="1" applyFill="1" applyBorder="1"/>
    <xf numFmtId="165" fontId="17" fillId="2" borderId="0" xfId="0" applyNumberFormat="1" applyFont="1" applyFill="1"/>
    <xf numFmtId="164" fontId="8" fillId="2" borderId="0" xfId="78" applyFont="1" applyFill="1"/>
    <xf numFmtId="0" fontId="18" fillId="2" borderId="0" xfId="0" applyFont="1" applyFill="1"/>
    <xf numFmtId="165" fontId="8" fillId="2" borderId="0" xfId="0" applyNumberFormat="1" applyFont="1" applyFill="1"/>
    <xf numFmtId="0" fontId="19" fillId="2" borderId="0" xfId="0" applyFont="1" applyFill="1"/>
    <xf numFmtId="0" fontId="11" fillId="2" borderId="1" xfId="0" applyFont="1" applyFill="1" applyBorder="1"/>
    <xf numFmtId="0" fontId="11" fillId="2" borderId="0" xfId="0" applyFont="1" applyFill="1"/>
    <xf numFmtId="164" fontId="8" fillId="2" borderId="0" xfId="0" applyNumberFormat="1" applyFont="1" applyFill="1"/>
    <xf numFmtId="0" fontId="20" fillId="2" borderId="0" xfId="0" applyFont="1" applyFill="1"/>
    <xf numFmtId="164" fontId="11" fillId="2" borderId="0" xfId="78" applyFont="1" applyFill="1"/>
    <xf numFmtId="0" fontId="8" fillId="2" borderId="0" xfId="78" applyNumberFormat="1" applyFont="1" applyFill="1" applyBorder="1" applyAlignment="1">
      <alignment horizontal="right" vertical="center"/>
    </xf>
    <xf numFmtId="165" fontId="2" fillId="2" borderId="0" xfId="0" applyNumberFormat="1" applyFont="1" applyFill="1"/>
    <xf numFmtId="165" fontId="14" fillId="2" borderId="0" xfId="0" applyNumberFormat="1" applyFont="1" applyFill="1"/>
    <xf numFmtId="165" fontId="8" fillId="2" borderId="1" xfId="78" applyNumberFormat="1" applyFont="1" applyFill="1" applyBorder="1"/>
    <xf numFmtId="165" fontId="11" fillId="2" borderId="1" xfId="0" applyNumberFormat="1" applyFont="1" applyFill="1" applyBorder="1"/>
    <xf numFmtId="0" fontId="21" fillId="3" borderId="3" xfId="0" applyFont="1" applyFill="1" applyBorder="1"/>
    <xf numFmtId="0" fontId="22" fillId="4" borderId="7" xfId="0" applyFont="1" applyFill="1" applyBorder="1"/>
    <xf numFmtId="0" fontId="22" fillId="4" borderId="8" xfId="0" applyFont="1" applyFill="1" applyBorder="1"/>
    <xf numFmtId="0" fontId="22" fillId="4" borderId="9" xfId="0" applyFont="1" applyFill="1" applyBorder="1"/>
    <xf numFmtId="0" fontId="21" fillId="3" borderId="0" xfId="0" applyFont="1" applyFill="1" applyBorder="1"/>
    <xf numFmtId="0" fontId="21" fillId="3" borderId="4" xfId="0" applyFont="1" applyFill="1" applyBorder="1"/>
    <xf numFmtId="0" fontId="21" fillId="3" borderId="0" xfId="0" applyFont="1" applyFill="1"/>
    <xf numFmtId="0" fontId="23" fillId="2" borderId="2" xfId="0" applyFont="1" applyFill="1" applyBorder="1" applyAlignment="1">
      <alignment horizontal="left" vertical="center"/>
    </xf>
    <xf numFmtId="164" fontId="14" fillId="2" borderId="0" xfId="78" applyFont="1" applyFill="1"/>
    <xf numFmtId="9" fontId="24" fillId="2" borderId="0" xfId="79" applyFont="1" applyFill="1"/>
    <xf numFmtId="0" fontId="11" fillId="2" borderId="0" xfId="0" applyFont="1" applyFill="1" applyAlignment="1"/>
    <xf numFmtId="0" fontId="2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left"/>
    </xf>
    <xf numFmtId="0" fontId="1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3" fillId="2" borderId="0" xfId="0" applyFont="1" applyFill="1" applyBorder="1"/>
    <xf numFmtId="0" fontId="12" fillId="2" borderId="0" xfId="0" applyFont="1" applyFill="1"/>
    <xf numFmtId="165" fontId="7" fillId="2" borderId="0" xfId="0" applyNumberFormat="1" applyFont="1" applyFill="1" applyAlignment="1">
      <alignment horizontal="right" vertical="center"/>
    </xf>
    <xf numFmtId="165" fontId="12" fillId="2" borderId="0" xfId="0" applyNumberFormat="1" applyFont="1" applyFill="1"/>
    <xf numFmtId="165" fontId="7" fillId="2" borderId="0" xfId="78" applyNumberFormat="1" applyFont="1" applyFill="1"/>
    <xf numFmtId="165" fontId="7" fillId="2" borderId="0" xfId="0" applyNumberFormat="1" applyFont="1" applyFill="1"/>
    <xf numFmtId="164" fontId="13" fillId="2" borderId="0" xfId="78" applyFont="1" applyFill="1"/>
    <xf numFmtId="0" fontId="7" fillId="2" borderId="0" xfId="0" applyFont="1" applyFill="1" applyBorder="1"/>
    <xf numFmtId="0" fontId="12" fillId="2" borderId="0" xfId="0" applyFont="1" applyFill="1" applyBorder="1"/>
    <xf numFmtId="165" fontId="7" fillId="2" borderId="0" xfId="0" applyNumberFormat="1" applyFont="1" applyFill="1" applyBorder="1" applyAlignment="1">
      <alignment horizontal="right" vertical="center"/>
    </xf>
    <xf numFmtId="165" fontId="13" fillId="2" borderId="0" xfId="0" applyNumberFormat="1" applyFont="1" applyFill="1"/>
    <xf numFmtId="0" fontId="7" fillId="2" borderId="0" xfId="78" applyNumberFormat="1" applyFont="1" applyFill="1" applyBorder="1" applyAlignment="1">
      <alignment horizontal="right" vertical="center"/>
    </xf>
    <xf numFmtId="165" fontId="8" fillId="3" borderId="0" xfId="78" applyNumberFormat="1" applyFont="1" applyFill="1" applyBorder="1"/>
    <xf numFmtId="0" fontId="7" fillId="3" borderId="0" xfId="0" applyFont="1" applyFill="1"/>
    <xf numFmtId="0" fontId="12" fillId="3" borderId="0" xfId="0" applyFont="1" applyFill="1"/>
    <xf numFmtId="165" fontId="7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/>
    <xf numFmtId="165" fontId="7" fillId="3" borderId="0" xfId="78" applyNumberFormat="1" applyFont="1" applyFill="1"/>
    <xf numFmtId="165" fontId="7" fillId="3" borderId="0" xfId="0" applyNumberFormat="1" applyFont="1" applyFill="1"/>
    <xf numFmtId="0" fontId="7" fillId="3" borderId="0" xfId="0" applyFont="1" applyFill="1" applyBorder="1"/>
    <xf numFmtId="0" fontId="12" fillId="3" borderId="0" xfId="0" applyFont="1" applyFill="1" applyBorder="1"/>
    <xf numFmtId="165" fontId="7" fillId="3" borderId="0" xfId="0" applyNumberFormat="1" applyFont="1" applyFill="1" applyBorder="1" applyAlignment="1">
      <alignment horizontal="right" vertical="center"/>
    </xf>
    <xf numFmtId="0" fontId="7" fillId="3" borderId="0" xfId="78" applyNumberFormat="1" applyFont="1" applyFill="1" applyBorder="1" applyAlignment="1">
      <alignment horizontal="right" vertical="center"/>
    </xf>
    <xf numFmtId="165" fontId="12" fillId="2" borderId="0" xfId="78" applyNumberFormat="1" applyFont="1" applyFill="1"/>
    <xf numFmtId="0" fontId="0" fillId="2" borderId="0" xfId="0" applyFont="1" applyFill="1"/>
    <xf numFmtId="0" fontId="26" fillId="3" borderId="0" xfId="0" applyFont="1" applyFill="1" applyBorder="1"/>
    <xf numFmtId="0" fontId="26" fillId="2" borderId="0" xfId="0" applyFont="1" applyFill="1" applyBorder="1"/>
    <xf numFmtId="165" fontId="7" fillId="3" borderId="0" xfId="78" applyNumberFormat="1" applyFont="1" applyFill="1" applyBorder="1"/>
    <xf numFmtId="0" fontId="12" fillId="2" borderId="10" xfId="0" applyFont="1" applyFill="1" applyBorder="1"/>
    <xf numFmtId="0" fontId="7" fillId="2" borderId="10" xfId="78" applyNumberFormat="1" applyFont="1" applyFill="1" applyBorder="1" applyAlignment="1">
      <alignment horizontal="right" vertical="center"/>
    </xf>
    <xf numFmtId="165" fontId="12" fillId="2" borderId="10" xfId="0" applyNumberFormat="1" applyFont="1" applyFill="1" applyBorder="1"/>
    <xf numFmtId="165" fontId="27" fillId="2" borderId="0" xfId="0" applyNumberFormat="1" applyFont="1" applyFill="1"/>
    <xf numFmtId="165" fontId="27" fillId="3" borderId="0" xfId="0" applyNumberFormat="1" applyFont="1" applyFill="1"/>
    <xf numFmtId="164" fontId="7" fillId="2" borderId="0" xfId="78" applyFont="1" applyFill="1"/>
    <xf numFmtId="165" fontId="28" fillId="3" borderId="0" xfId="78" applyNumberFormat="1" applyFont="1" applyFill="1"/>
    <xf numFmtId="164" fontId="7" fillId="3" borderId="0" xfId="78" applyFont="1" applyFill="1"/>
    <xf numFmtId="0" fontId="29" fillId="3" borderId="0" xfId="0" applyFont="1" applyFill="1"/>
    <xf numFmtId="0" fontId="26" fillId="2" borderId="0" xfId="0" applyFont="1" applyFill="1"/>
    <xf numFmtId="0" fontId="27" fillId="2" borderId="0" xfId="0" applyFont="1" applyFill="1" applyBorder="1"/>
    <xf numFmtId="0" fontId="27" fillId="3" borderId="0" xfId="0" applyFont="1" applyFill="1" applyBorder="1"/>
    <xf numFmtId="0" fontId="7" fillId="2" borderId="10" xfId="0" applyFont="1" applyFill="1" applyBorder="1"/>
    <xf numFmtId="0" fontId="27" fillId="2" borderId="10" xfId="0" applyFont="1" applyFill="1" applyBorder="1"/>
    <xf numFmtId="165" fontId="27" fillId="2" borderId="10" xfId="0" applyNumberFormat="1" applyFont="1" applyFill="1" applyBorder="1"/>
    <xf numFmtId="165" fontId="7" fillId="2" borderId="10" xfId="0" applyNumberFormat="1" applyFont="1" applyFill="1" applyBorder="1"/>
    <xf numFmtId="164" fontId="7" fillId="2" borderId="10" xfId="78" applyFont="1" applyFill="1" applyBorder="1"/>
    <xf numFmtId="0" fontId="16" fillId="2" borderId="0" xfId="0" applyFont="1" applyFill="1"/>
    <xf numFmtId="0" fontId="27" fillId="3" borderId="0" xfId="0" applyFont="1" applyFill="1" applyBorder="1" applyAlignment="1"/>
    <xf numFmtId="49" fontId="27" fillId="3" borderId="0" xfId="0" applyNumberFormat="1" applyFont="1" applyFill="1" applyAlignment="1"/>
    <xf numFmtId="1" fontId="27" fillId="3" borderId="0" xfId="0" applyNumberFormat="1" applyFont="1" applyFill="1" applyAlignment="1">
      <alignment horizontal="left"/>
    </xf>
    <xf numFmtId="1" fontId="27" fillId="3" borderId="0" xfId="0" applyNumberFormat="1" applyFont="1" applyFill="1" applyBorder="1" applyAlignment="1"/>
    <xf numFmtId="0" fontId="27" fillId="3" borderId="0" xfId="0" applyFont="1" applyFill="1" applyBorder="1" applyAlignment="1">
      <alignment horizontal="left"/>
    </xf>
    <xf numFmtId="0" fontId="27" fillId="3" borderId="4" xfId="0" applyFont="1" applyFill="1" applyBorder="1"/>
    <xf numFmtId="49" fontId="27" fillId="3" borderId="0" xfId="0" applyNumberFormat="1" applyFont="1" applyFill="1" applyBorder="1" applyAlignment="1"/>
    <xf numFmtId="1" fontId="27" fillId="3" borderId="0" xfId="0" applyNumberFormat="1" applyFont="1" applyFill="1" applyBorder="1" applyAlignment="1">
      <alignment horizontal="left"/>
    </xf>
    <xf numFmtId="0" fontId="27" fillId="3" borderId="0" xfId="0" applyFont="1" applyFill="1"/>
    <xf numFmtId="14" fontId="27" fillId="3" borderId="0" xfId="0" applyNumberFormat="1" applyFont="1" applyFill="1" applyBorder="1" applyAlignment="1">
      <alignment horizontal="left"/>
    </xf>
    <xf numFmtId="0" fontId="27" fillId="3" borderId="0" xfId="0" applyFont="1" applyFill="1" applyAlignment="1"/>
    <xf numFmtId="1" fontId="27" fillId="3" borderId="0" xfId="0" applyNumberFormat="1" applyFont="1" applyFill="1" applyAlignment="1"/>
    <xf numFmtId="0" fontId="27" fillId="3" borderId="2" xfId="0" applyFont="1" applyFill="1" applyBorder="1"/>
    <xf numFmtId="0" fontId="27" fillId="3" borderId="2" xfId="0" applyFont="1" applyFill="1" applyBorder="1" applyAlignment="1"/>
    <xf numFmtId="1" fontId="27" fillId="3" borderId="2" xfId="0" applyNumberFormat="1" applyFont="1" applyFill="1" applyBorder="1" applyAlignment="1"/>
    <xf numFmtId="1" fontId="27" fillId="3" borderId="2" xfId="0" applyNumberFormat="1" applyFont="1" applyFill="1" applyBorder="1"/>
    <xf numFmtId="0" fontId="27" fillId="3" borderId="6" xfId="0" applyFont="1" applyFill="1" applyBorder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23</xdr:row>
      <xdr:rowOff>136800</xdr:rowOff>
    </xdr:from>
    <xdr:to>
      <xdr:col>4</xdr:col>
      <xdr:colOff>388980</xdr:colOff>
      <xdr:row>23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9"/>
  <sheetViews>
    <sheetView topLeftCell="A2" zoomScale="110" zoomScaleNormal="110" workbookViewId="0">
      <selection activeCell="J18" sqref="J18"/>
    </sheetView>
  </sheetViews>
  <sheetFormatPr baseColWidth="10" defaultColWidth="8.83203125" defaultRowHeight="16" x14ac:dyDescent="0.2"/>
  <cols>
    <col min="1" max="1" width="20.5" style="55" bestFit="1" customWidth="1"/>
    <col min="2" max="2" width="21.5" style="55" bestFit="1" customWidth="1"/>
    <col min="3" max="3" width="19.33203125" style="55" bestFit="1" customWidth="1"/>
    <col min="4" max="4" width="27.1640625" style="55" bestFit="1" customWidth="1"/>
    <col min="5" max="5" width="12.1640625" style="55" bestFit="1" customWidth="1"/>
    <col min="6" max="6" width="11" style="55" customWidth="1"/>
    <col min="7" max="7" width="11.5" style="55" bestFit="1" customWidth="1"/>
    <col min="8" max="8" width="16.83203125" style="55" bestFit="1" customWidth="1"/>
    <col min="9" max="9" width="15.33203125" style="55" bestFit="1" customWidth="1"/>
    <col min="10" max="10" width="11.1640625" style="55" bestFit="1" customWidth="1"/>
    <col min="11" max="11" width="11.6640625" style="55" bestFit="1" customWidth="1"/>
    <col min="12" max="12" width="15.83203125" style="55" bestFit="1" customWidth="1"/>
    <col min="13" max="258" width="11" style="55" customWidth="1"/>
    <col min="259" max="16384" width="8.83203125" style="55"/>
  </cols>
  <sheetData>
    <row r="1" spans="1:12" x14ac:dyDescent="0.2">
      <c r="A1" s="83" t="str">
        <f>+SUMMARY!A1</f>
        <v>PAYROLL    24th Jan 20th Feb UGLY DUMPLING  TEAM</v>
      </c>
      <c r="B1" s="83"/>
      <c r="C1" s="83"/>
      <c r="D1" s="83"/>
      <c r="E1" s="83"/>
      <c r="F1" s="83"/>
      <c r="G1" s="83"/>
      <c r="H1" s="83"/>
      <c r="I1" s="83"/>
    </row>
    <row r="2" spans="1:12" x14ac:dyDescent="0.2">
      <c r="A2" s="83"/>
      <c r="B2" s="83"/>
      <c r="C2" s="83"/>
      <c r="D2" s="83"/>
      <c r="E2" s="83"/>
      <c r="F2" s="83"/>
      <c r="G2" s="83"/>
      <c r="H2" s="83"/>
      <c r="I2" s="83"/>
    </row>
    <row r="4" spans="1:12" x14ac:dyDescent="0.2">
      <c r="A4" s="56"/>
      <c r="B4" s="56"/>
      <c r="C4" s="56"/>
      <c r="D4" s="56"/>
      <c r="E4" s="56"/>
      <c r="F4" s="56"/>
      <c r="G4" s="56"/>
      <c r="H4" s="56"/>
      <c r="I4" s="56"/>
    </row>
    <row r="5" spans="1:12" x14ac:dyDescent="0.2">
      <c r="A5" s="79" t="s">
        <v>0</v>
      </c>
      <c r="B5" s="79" t="s">
        <v>1</v>
      </c>
      <c r="C5" s="79" t="s">
        <v>2</v>
      </c>
      <c r="D5" s="79" t="s">
        <v>90</v>
      </c>
      <c r="E5" s="79" t="s">
        <v>97</v>
      </c>
      <c r="F5" s="79" t="s">
        <v>5</v>
      </c>
      <c r="G5" s="79" t="s">
        <v>92</v>
      </c>
      <c r="H5" s="79" t="s">
        <v>163</v>
      </c>
      <c r="I5" s="79" t="s">
        <v>93</v>
      </c>
      <c r="J5" s="79" t="s">
        <v>94</v>
      </c>
      <c r="K5" s="79" t="s">
        <v>95</v>
      </c>
      <c r="L5" s="79" t="s">
        <v>96</v>
      </c>
    </row>
    <row r="6" spans="1:12" x14ac:dyDescent="0.2">
      <c r="A6" s="5" t="s">
        <v>18</v>
      </c>
      <c r="B6" s="5" t="s">
        <v>63</v>
      </c>
      <c r="C6" s="5" t="s">
        <v>64</v>
      </c>
      <c r="D6" s="88" t="s">
        <v>13</v>
      </c>
      <c r="E6" s="89">
        <v>9</v>
      </c>
      <c r="F6" s="88">
        <v>128.58000000000001</v>
      </c>
      <c r="G6" s="90">
        <f t="shared" ref="G6:G20" si="0">E6*F6</f>
        <v>1157.22</v>
      </c>
      <c r="H6" s="91"/>
      <c r="I6" s="92"/>
      <c r="J6" s="5"/>
      <c r="K6" s="120">
        <v>2.5</v>
      </c>
      <c r="L6" s="5"/>
    </row>
    <row r="7" spans="1:12" x14ac:dyDescent="0.2">
      <c r="A7" s="100" t="s">
        <v>18</v>
      </c>
      <c r="B7" s="101" t="s">
        <v>59</v>
      </c>
      <c r="C7" s="101" t="s">
        <v>58</v>
      </c>
      <c r="D7" s="101" t="s">
        <v>13</v>
      </c>
      <c r="E7" s="102">
        <v>10</v>
      </c>
      <c r="F7" s="101">
        <v>175.55</v>
      </c>
      <c r="G7" s="103">
        <f t="shared" si="0"/>
        <v>1755.5</v>
      </c>
      <c r="H7" s="104">
        <v>75</v>
      </c>
      <c r="I7" s="105"/>
      <c r="J7" s="100"/>
      <c r="K7" s="122">
        <v>3</v>
      </c>
      <c r="L7" s="100" t="s">
        <v>169</v>
      </c>
    </row>
    <row r="8" spans="1:12" x14ac:dyDescent="0.2">
      <c r="A8" s="5" t="s">
        <v>18</v>
      </c>
      <c r="B8" s="88" t="s">
        <v>45</v>
      </c>
      <c r="C8" s="88" t="s">
        <v>46</v>
      </c>
      <c r="D8" s="88" t="s">
        <v>13</v>
      </c>
      <c r="E8" s="89">
        <v>10.5</v>
      </c>
      <c r="F8" s="88">
        <f>188.53+10</f>
        <v>198.53</v>
      </c>
      <c r="G8" s="90">
        <f t="shared" si="0"/>
        <v>2084.5650000000001</v>
      </c>
      <c r="H8" s="91">
        <v>180</v>
      </c>
      <c r="I8" s="92"/>
      <c r="J8" s="5"/>
      <c r="K8" s="120"/>
      <c r="L8" s="5" t="s">
        <v>170</v>
      </c>
    </row>
    <row r="9" spans="1:12" x14ac:dyDescent="0.2">
      <c r="A9" s="106" t="s">
        <v>18</v>
      </c>
      <c r="B9" s="107" t="s">
        <v>39</v>
      </c>
      <c r="C9" s="107" t="s">
        <v>40</v>
      </c>
      <c r="D9" s="101" t="s">
        <v>13</v>
      </c>
      <c r="E9" s="108">
        <v>10</v>
      </c>
      <c r="F9" s="106">
        <v>177.05</v>
      </c>
      <c r="G9" s="103">
        <f t="shared" si="0"/>
        <v>1770.5</v>
      </c>
      <c r="H9" s="104">
        <v>130</v>
      </c>
      <c r="I9" s="105"/>
      <c r="J9" s="100"/>
      <c r="K9" s="122"/>
      <c r="L9" s="100"/>
    </row>
    <row r="10" spans="1:12" x14ac:dyDescent="0.2">
      <c r="A10" s="94" t="s">
        <v>44</v>
      </c>
      <c r="B10" s="95" t="s">
        <v>65</v>
      </c>
      <c r="C10" s="95" t="s">
        <v>66</v>
      </c>
      <c r="D10" s="88" t="s">
        <v>13</v>
      </c>
      <c r="E10" s="96">
        <v>9.5</v>
      </c>
      <c r="F10" s="94">
        <v>169.44</v>
      </c>
      <c r="G10" s="90">
        <f t="shared" si="0"/>
        <v>1609.68</v>
      </c>
      <c r="H10" s="91"/>
      <c r="I10" s="92"/>
      <c r="J10" s="5"/>
      <c r="K10" s="120">
        <v>3.5</v>
      </c>
      <c r="L10" s="5"/>
    </row>
    <row r="11" spans="1:12" x14ac:dyDescent="0.2">
      <c r="A11" s="106" t="s">
        <v>18</v>
      </c>
      <c r="B11" s="107" t="s">
        <v>83</v>
      </c>
      <c r="C11" s="107" t="s">
        <v>78</v>
      </c>
      <c r="D11" s="101" t="s">
        <v>13</v>
      </c>
      <c r="E11" s="108">
        <v>9.5</v>
      </c>
      <c r="F11" s="106">
        <v>153.88999999999999</v>
      </c>
      <c r="G11" s="103">
        <f t="shared" si="0"/>
        <v>1461.9549999999999</v>
      </c>
      <c r="H11" s="104"/>
      <c r="I11" s="105"/>
      <c r="J11" s="100"/>
      <c r="K11" s="122">
        <v>1</v>
      </c>
      <c r="L11" s="100"/>
    </row>
    <row r="12" spans="1:12" ht="17" customHeight="1" x14ac:dyDescent="0.2">
      <c r="A12" s="5" t="s">
        <v>18</v>
      </c>
      <c r="B12" s="94" t="s">
        <v>142</v>
      </c>
      <c r="C12" s="5" t="s">
        <v>141</v>
      </c>
      <c r="D12" s="88" t="s">
        <v>13</v>
      </c>
      <c r="E12" s="92">
        <v>8</v>
      </c>
      <c r="F12" s="98">
        <f>3.67+4</f>
        <v>7.67</v>
      </c>
      <c r="G12" s="90">
        <f t="shared" si="0"/>
        <v>61.36</v>
      </c>
      <c r="H12" s="92"/>
      <c r="I12" s="92"/>
      <c r="J12" s="5" t="s">
        <v>71</v>
      </c>
      <c r="K12" s="120">
        <v>0.5</v>
      </c>
      <c r="L12" s="5"/>
    </row>
    <row r="13" spans="1:12" ht="17" customHeight="1" x14ac:dyDescent="0.2">
      <c r="A13" s="100" t="s">
        <v>18</v>
      </c>
      <c r="B13" s="106" t="s">
        <v>144</v>
      </c>
      <c r="C13" s="100" t="s">
        <v>143</v>
      </c>
      <c r="D13" s="101" t="s">
        <v>13</v>
      </c>
      <c r="E13" s="105">
        <v>8.5</v>
      </c>
      <c r="F13" s="109">
        <v>31.93</v>
      </c>
      <c r="G13" s="103">
        <f t="shared" si="0"/>
        <v>271.40499999999997</v>
      </c>
      <c r="H13" s="105"/>
      <c r="I13" s="105"/>
      <c r="J13" s="100" t="s">
        <v>71</v>
      </c>
      <c r="K13" s="122">
        <v>0.5</v>
      </c>
      <c r="L13" s="100"/>
    </row>
    <row r="14" spans="1:12" ht="17" customHeight="1" x14ac:dyDescent="0.2">
      <c r="A14" s="5" t="s">
        <v>18</v>
      </c>
      <c r="B14" s="94" t="s">
        <v>156</v>
      </c>
      <c r="C14" s="5" t="s">
        <v>145</v>
      </c>
      <c r="D14" s="88" t="s">
        <v>13</v>
      </c>
      <c r="E14" s="92">
        <v>9.5</v>
      </c>
      <c r="F14" s="98">
        <v>41.04</v>
      </c>
      <c r="G14" s="90">
        <f t="shared" si="0"/>
        <v>389.88</v>
      </c>
      <c r="H14" s="92"/>
      <c r="I14" s="92"/>
      <c r="J14" s="5" t="s">
        <v>71</v>
      </c>
      <c r="K14" s="120">
        <v>1</v>
      </c>
      <c r="L14" s="5"/>
    </row>
    <row r="15" spans="1:12" ht="17" customHeight="1" x14ac:dyDescent="0.2">
      <c r="A15" s="100" t="s">
        <v>18</v>
      </c>
      <c r="B15" s="106" t="s">
        <v>155</v>
      </c>
      <c r="C15" s="100" t="s">
        <v>146</v>
      </c>
      <c r="D15" s="101" t="s">
        <v>13</v>
      </c>
      <c r="E15" s="105">
        <v>8</v>
      </c>
      <c r="F15" s="109">
        <v>34.799999999999997</v>
      </c>
      <c r="G15" s="103">
        <f t="shared" si="0"/>
        <v>278.39999999999998</v>
      </c>
      <c r="H15" s="105"/>
      <c r="I15" s="105"/>
      <c r="J15" s="100" t="s">
        <v>71</v>
      </c>
      <c r="K15" s="122"/>
      <c r="L15" s="100"/>
    </row>
    <row r="16" spans="1:12" ht="17" customHeight="1" x14ac:dyDescent="0.2">
      <c r="A16" s="5" t="s">
        <v>18</v>
      </c>
      <c r="B16" s="94" t="s">
        <v>154</v>
      </c>
      <c r="C16" s="5" t="s">
        <v>147</v>
      </c>
      <c r="D16" s="88" t="s">
        <v>13</v>
      </c>
      <c r="E16" s="92">
        <v>8.5</v>
      </c>
      <c r="F16" s="98">
        <v>37.549999999999997</v>
      </c>
      <c r="G16" s="90">
        <f t="shared" si="0"/>
        <v>319.17499999999995</v>
      </c>
      <c r="H16" s="92"/>
      <c r="I16" s="92"/>
      <c r="J16" s="5" t="s">
        <v>71</v>
      </c>
      <c r="K16" s="120"/>
      <c r="L16" s="5"/>
    </row>
    <row r="17" spans="1:19" ht="17" customHeight="1" x14ac:dyDescent="0.2">
      <c r="A17" s="100" t="s">
        <v>84</v>
      </c>
      <c r="B17" s="106" t="s">
        <v>153</v>
      </c>
      <c r="C17" s="100" t="s">
        <v>148</v>
      </c>
      <c r="D17" s="101" t="s">
        <v>13</v>
      </c>
      <c r="E17" s="105">
        <v>8.5</v>
      </c>
      <c r="F17" s="109">
        <v>31.06</v>
      </c>
      <c r="G17" s="103">
        <f t="shared" si="0"/>
        <v>264.01</v>
      </c>
      <c r="H17" s="105"/>
      <c r="I17" s="105"/>
      <c r="J17" s="100" t="s">
        <v>194</v>
      </c>
      <c r="K17" s="122">
        <v>0.5</v>
      </c>
      <c r="L17" s="100"/>
    </row>
    <row r="18" spans="1:19" ht="17" customHeight="1" x14ac:dyDescent="0.2">
      <c r="A18" s="5" t="s">
        <v>18</v>
      </c>
      <c r="B18" s="94" t="s">
        <v>152</v>
      </c>
      <c r="C18" s="5" t="s">
        <v>149</v>
      </c>
      <c r="D18" s="88" t="s">
        <v>13</v>
      </c>
      <c r="E18" s="92">
        <v>8</v>
      </c>
      <c r="F18" s="98">
        <v>49.9</v>
      </c>
      <c r="G18" s="90">
        <f t="shared" si="0"/>
        <v>399.2</v>
      </c>
      <c r="H18" s="92"/>
      <c r="I18" s="92"/>
      <c r="J18" s="5" t="s">
        <v>71</v>
      </c>
      <c r="K18" s="120">
        <v>1</v>
      </c>
      <c r="L18" s="5"/>
    </row>
    <row r="19" spans="1:19" ht="17" customHeight="1" x14ac:dyDescent="0.2">
      <c r="A19" s="100" t="s">
        <v>18</v>
      </c>
      <c r="B19" s="106" t="s">
        <v>151</v>
      </c>
      <c r="C19" s="100" t="s">
        <v>150</v>
      </c>
      <c r="D19" s="101" t="s">
        <v>13</v>
      </c>
      <c r="E19" s="105">
        <v>8</v>
      </c>
      <c r="F19" s="109">
        <v>48.99</v>
      </c>
      <c r="G19" s="103">
        <f t="shared" si="0"/>
        <v>391.92</v>
      </c>
      <c r="H19" s="105"/>
      <c r="I19" s="105"/>
      <c r="J19" s="100" t="s">
        <v>71</v>
      </c>
      <c r="K19" s="122">
        <v>0.5</v>
      </c>
      <c r="L19" s="100"/>
    </row>
    <row r="20" spans="1:19" ht="17" customHeight="1" x14ac:dyDescent="0.2">
      <c r="A20" s="5" t="s">
        <v>84</v>
      </c>
      <c r="B20" s="94" t="s">
        <v>157</v>
      </c>
      <c r="C20" s="5" t="s">
        <v>190</v>
      </c>
      <c r="D20" s="88" t="s">
        <v>13</v>
      </c>
      <c r="E20" s="92">
        <v>9</v>
      </c>
      <c r="F20" s="98">
        <v>35.25</v>
      </c>
      <c r="G20" s="90">
        <f>E20*F20-50</f>
        <v>267.25</v>
      </c>
      <c r="H20" s="92"/>
      <c r="I20" s="92"/>
      <c r="J20" s="5" t="s">
        <v>191</v>
      </c>
      <c r="K20" s="120"/>
      <c r="L20" s="5"/>
    </row>
    <row r="21" spans="1:19" ht="17" customHeight="1" x14ac:dyDescent="0.2">
      <c r="A21" s="16"/>
      <c r="B21" s="87"/>
      <c r="C21" s="16"/>
      <c r="D21" s="88"/>
      <c r="E21" s="97"/>
      <c r="F21" s="98"/>
      <c r="G21" s="90"/>
      <c r="H21" s="97"/>
      <c r="I21" s="97"/>
      <c r="J21" s="16"/>
      <c r="K21" s="93"/>
      <c r="L21" s="16"/>
    </row>
    <row r="22" spans="1:19" ht="17" thickBot="1" x14ac:dyDescent="0.25">
      <c r="A22" s="84"/>
      <c r="B22" s="84"/>
      <c r="C22" s="84"/>
      <c r="D22" s="84"/>
      <c r="E22" s="84"/>
      <c r="F22" s="8">
        <f>+SUM(F6:F10)</f>
        <v>849.15000000000009</v>
      </c>
      <c r="G22" s="19">
        <f>SUM(G6:G20)</f>
        <v>12482.02</v>
      </c>
      <c r="H22" s="70">
        <f>+SUM(H6:H10)</f>
        <v>385</v>
      </c>
      <c r="I22" s="71">
        <f>+SUM(I6:I10)</f>
        <v>0</v>
      </c>
      <c r="J22" s="62"/>
      <c r="K22" s="62"/>
      <c r="L22" s="62"/>
      <c r="M22" s="63"/>
      <c r="N22" s="63"/>
      <c r="O22" s="63"/>
      <c r="P22" s="63"/>
      <c r="Q22" s="63"/>
    </row>
    <row r="23" spans="1:19" ht="17" thickTop="1" x14ac:dyDescent="0.2">
      <c r="A23" s="53"/>
      <c r="B23" s="53"/>
      <c r="C23" s="53"/>
      <c r="D23" s="53"/>
      <c r="E23" s="53"/>
      <c r="F23" s="53"/>
      <c r="G23" s="64"/>
      <c r="H23" s="53"/>
      <c r="I23" s="20"/>
      <c r="J23" s="20"/>
      <c r="K23" s="20"/>
      <c r="L23" s="20"/>
      <c r="M23" s="23"/>
      <c r="N23" s="20"/>
      <c r="O23" s="23"/>
      <c r="P23" s="58"/>
      <c r="Q23" s="60"/>
      <c r="R23" s="65"/>
      <c r="S23" s="59"/>
    </row>
    <row r="24" spans="1:19" x14ac:dyDescent="0.2">
      <c r="A24" s="82"/>
      <c r="B24" s="82"/>
      <c r="C24" s="63"/>
      <c r="D24" s="63"/>
      <c r="E24" s="63"/>
      <c r="G24" s="81"/>
      <c r="J24" s="63"/>
      <c r="K24" s="63"/>
      <c r="L24" s="63"/>
      <c r="M24" s="63"/>
      <c r="N24" s="63"/>
      <c r="O24" s="63"/>
      <c r="P24" s="63"/>
      <c r="Q24" s="63"/>
    </row>
    <row r="25" spans="1:19" x14ac:dyDescent="0.2"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</row>
    <row r="26" spans="1:19" x14ac:dyDescent="0.2">
      <c r="D26" s="63"/>
      <c r="E26" s="63"/>
      <c r="F26" s="63"/>
      <c r="G26" s="63"/>
      <c r="H26" s="63" t="s">
        <v>29</v>
      </c>
      <c r="I26" s="63"/>
      <c r="J26" s="63"/>
      <c r="K26" s="63"/>
      <c r="L26" s="63"/>
      <c r="M26" s="63"/>
      <c r="N26" s="63"/>
      <c r="O26" s="63"/>
      <c r="P26" s="63"/>
      <c r="Q26" s="63"/>
    </row>
    <row r="27" spans="1:19" x14ac:dyDescent="0.2">
      <c r="D27" s="63"/>
      <c r="E27" s="63"/>
      <c r="F27" s="63"/>
      <c r="G27" s="66">
        <f>940+650+753+892+743+1010+1058+962+888+630+1147+924+1224+726</f>
        <v>12547</v>
      </c>
      <c r="H27" s="63"/>
      <c r="I27" s="63"/>
      <c r="J27" s="63"/>
      <c r="K27" s="63"/>
      <c r="L27" s="63"/>
      <c r="M27" s="63"/>
      <c r="N27" s="63"/>
      <c r="O27" s="63"/>
      <c r="P27" s="63"/>
      <c r="Q27" s="63"/>
    </row>
    <row r="28" spans="1:19" x14ac:dyDescent="0.2">
      <c r="D28" s="63"/>
      <c r="E28" s="63"/>
      <c r="F28" s="63"/>
      <c r="G28" s="63" t="s">
        <v>35</v>
      </c>
      <c r="H28" s="63"/>
      <c r="I28" s="63"/>
      <c r="J28" s="63"/>
      <c r="K28" s="63"/>
      <c r="L28" s="63"/>
      <c r="M28" s="63"/>
      <c r="N28" s="63"/>
      <c r="O28" s="63"/>
      <c r="P28" s="63"/>
      <c r="Q28" s="63"/>
    </row>
    <row r="29" spans="1:19" x14ac:dyDescent="0.2"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</row>
  </sheetData>
  <mergeCells count="3">
    <mergeCell ref="A24:B24"/>
    <mergeCell ref="A1:I2"/>
    <mergeCell ref="A22:E22"/>
  </mergeCells>
  <phoneticPr fontId="25" type="noConversion"/>
  <printOptions gridLines="1"/>
  <pageMargins left="0.74803149606299213" right="0.74803149606299213" top="0.98425196850393704" bottom="0.98425196850393704" header="0.31496062992125984" footer="0.31496062992125984"/>
  <pageSetup paperSize="9" scale="71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529E-5566-FA41-9F9D-8364427311D1}">
  <dimension ref="A1:Q37"/>
  <sheetViews>
    <sheetView zoomScale="99" workbookViewId="0">
      <selection activeCell="I15" sqref="I15"/>
    </sheetView>
  </sheetViews>
  <sheetFormatPr baseColWidth="10" defaultColWidth="8.83203125" defaultRowHeight="16" x14ac:dyDescent="0.2"/>
  <cols>
    <col min="1" max="2" width="21.5" style="55" bestFit="1" customWidth="1"/>
    <col min="3" max="3" width="19.33203125" style="55" bestFit="1" customWidth="1"/>
    <col min="4" max="4" width="27.1640625" style="55" bestFit="1" customWidth="1"/>
    <col min="5" max="5" width="12.1640625" style="55" bestFit="1" customWidth="1"/>
    <col min="6" max="6" width="11" style="55" customWidth="1"/>
    <col min="7" max="7" width="11.1640625" style="55" bestFit="1" customWidth="1"/>
    <col min="8" max="8" width="16.83203125" style="55" bestFit="1" customWidth="1"/>
    <col min="9" max="9" width="15.33203125" style="55" bestFit="1" customWidth="1"/>
    <col min="10" max="10" width="11.1640625" style="55" bestFit="1" customWidth="1"/>
    <col min="11" max="11" width="11.6640625" style="55" bestFit="1" customWidth="1"/>
    <col min="12" max="12" width="15.83203125" style="55" bestFit="1" customWidth="1"/>
    <col min="13" max="258" width="11" style="55" customWidth="1"/>
    <col min="259" max="16384" width="8.83203125" style="55"/>
  </cols>
  <sheetData>
    <row r="1" spans="1:14" x14ac:dyDescent="0.2">
      <c r="A1" s="83" t="str">
        <f>+SUMMARY!A1</f>
        <v>PAYROLL    24th Jan 20th Feb UGLY DUMPLING  TEAM</v>
      </c>
      <c r="B1" s="83"/>
      <c r="C1" s="83"/>
      <c r="D1" s="83"/>
      <c r="E1" s="83"/>
      <c r="F1" s="83"/>
      <c r="G1" s="83"/>
      <c r="H1" s="83"/>
      <c r="I1" s="83"/>
    </row>
    <row r="2" spans="1:14" x14ac:dyDescent="0.2">
      <c r="A2" s="83"/>
      <c r="B2" s="83"/>
      <c r="C2" s="83"/>
      <c r="D2" s="83"/>
      <c r="E2" s="83"/>
      <c r="F2" s="83"/>
      <c r="G2" s="83"/>
      <c r="H2" s="83"/>
      <c r="I2" s="83"/>
    </row>
    <row r="4" spans="1:14" x14ac:dyDescent="0.2">
      <c r="A4" s="56"/>
      <c r="B4" s="56"/>
      <c r="C4" s="56"/>
      <c r="D4" s="56"/>
      <c r="E4" s="56"/>
      <c r="F4" s="56"/>
      <c r="G4" s="56"/>
      <c r="H4" s="56"/>
      <c r="I4" s="56"/>
    </row>
    <row r="5" spans="1:14" x14ac:dyDescent="0.2">
      <c r="A5" s="79" t="s">
        <v>0</v>
      </c>
      <c r="B5" s="79" t="s">
        <v>1</v>
      </c>
      <c r="C5" s="79" t="s">
        <v>2</v>
      </c>
      <c r="D5" s="79" t="s">
        <v>90</v>
      </c>
      <c r="E5" s="79" t="s">
        <v>97</v>
      </c>
      <c r="F5" s="79" t="s">
        <v>5</v>
      </c>
      <c r="G5" s="79" t="s">
        <v>92</v>
      </c>
      <c r="H5" s="79" t="s">
        <v>91</v>
      </c>
      <c r="I5" s="79" t="s">
        <v>93</v>
      </c>
      <c r="J5" s="79" t="s">
        <v>94</v>
      </c>
      <c r="K5" s="79" t="s">
        <v>95</v>
      </c>
      <c r="L5" s="79" t="s">
        <v>96</v>
      </c>
    </row>
    <row r="6" spans="1:14" s="61" customFormat="1" x14ac:dyDescent="0.2">
      <c r="A6" s="94" t="s">
        <v>50</v>
      </c>
      <c r="B6" s="95" t="s">
        <v>51</v>
      </c>
      <c r="C6" s="95" t="s">
        <v>52</v>
      </c>
      <c r="D6" s="88" t="s">
        <v>13</v>
      </c>
      <c r="E6" s="96">
        <v>10</v>
      </c>
      <c r="F6" s="95">
        <v>32.700000000000003</v>
      </c>
      <c r="G6" s="90">
        <f>F6*E6</f>
        <v>327</v>
      </c>
      <c r="H6" s="110"/>
      <c r="I6" s="90"/>
      <c r="J6" s="5"/>
      <c r="K6" s="120"/>
      <c r="L6" s="5"/>
      <c r="M6" s="111"/>
      <c r="N6" s="55"/>
    </row>
    <row r="7" spans="1:14" x14ac:dyDescent="0.2">
      <c r="A7" s="100" t="s">
        <v>54</v>
      </c>
      <c r="B7" s="100" t="s">
        <v>11</v>
      </c>
      <c r="C7" s="100" t="s">
        <v>12</v>
      </c>
      <c r="D7" s="101" t="s">
        <v>13</v>
      </c>
      <c r="E7" s="102">
        <v>10.7</v>
      </c>
      <c r="F7" s="100">
        <v>169.68</v>
      </c>
      <c r="G7" s="103">
        <f t="shared" ref="G7:G26" si="0">F7*E7</f>
        <v>1815.576</v>
      </c>
      <c r="H7" s="121">
        <v>150</v>
      </c>
      <c r="I7" s="105"/>
      <c r="J7" s="100"/>
      <c r="K7" s="122"/>
      <c r="L7" s="123"/>
      <c r="M7" s="111"/>
    </row>
    <row r="8" spans="1:14" x14ac:dyDescent="0.2">
      <c r="A8" s="95" t="s">
        <v>48</v>
      </c>
      <c r="B8" s="95" t="s">
        <v>49</v>
      </c>
      <c r="C8" s="95" t="s">
        <v>89</v>
      </c>
      <c r="D8" s="88" t="s">
        <v>13</v>
      </c>
      <c r="E8" s="96">
        <v>10.7</v>
      </c>
      <c r="F8" s="94">
        <v>170.41</v>
      </c>
      <c r="G8" s="90">
        <f t="shared" si="0"/>
        <v>1823.3869999999999</v>
      </c>
      <c r="H8" s="91">
        <v>75</v>
      </c>
      <c r="I8" s="92"/>
      <c r="J8" s="5"/>
      <c r="K8" s="120"/>
      <c r="L8" s="5"/>
      <c r="M8" s="111"/>
    </row>
    <row r="9" spans="1:14" x14ac:dyDescent="0.2">
      <c r="A9" s="106" t="s">
        <v>19</v>
      </c>
      <c r="B9" s="106" t="s">
        <v>33</v>
      </c>
      <c r="C9" s="106" t="s">
        <v>34</v>
      </c>
      <c r="D9" s="101" t="s">
        <v>13</v>
      </c>
      <c r="E9" s="108">
        <v>10.7</v>
      </c>
      <c r="F9" s="106">
        <v>240.84</v>
      </c>
      <c r="G9" s="103">
        <f t="shared" si="0"/>
        <v>2576.9879999999998</v>
      </c>
      <c r="H9" s="104">
        <v>150</v>
      </c>
      <c r="I9" s="105"/>
      <c r="J9" s="100"/>
      <c r="K9" s="122"/>
      <c r="L9" s="123"/>
      <c r="M9" s="111"/>
    </row>
    <row r="10" spans="1:14" x14ac:dyDescent="0.2">
      <c r="A10" s="94" t="s">
        <v>19</v>
      </c>
      <c r="B10" s="94" t="s">
        <v>36</v>
      </c>
      <c r="C10" s="94" t="s">
        <v>37</v>
      </c>
      <c r="D10" s="88" t="s">
        <v>13</v>
      </c>
      <c r="E10" s="96">
        <v>10.7</v>
      </c>
      <c r="F10" s="94">
        <v>33.44</v>
      </c>
      <c r="G10" s="90">
        <f t="shared" si="0"/>
        <v>357.80799999999994</v>
      </c>
      <c r="H10" s="91">
        <v>0</v>
      </c>
      <c r="I10" s="92"/>
      <c r="J10" s="5"/>
      <c r="K10" s="120"/>
      <c r="L10" s="5"/>
      <c r="M10" s="111"/>
    </row>
    <row r="11" spans="1:14" x14ac:dyDescent="0.2">
      <c r="A11" s="106" t="s">
        <v>26</v>
      </c>
      <c r="B11" s="107" t="s">
        <v>41</v>
      </c>
      <c r="C11" s="107" t="s">
        <v>42</v>
      </c>
      <c r="D11" s="101" t="s">
        <v>13</v>
      </c>
      <c r="E11" s="108">
        <v>9.5</v>
      </c>
      <c r="F11" s="106">
        <v>142.13</v>
      </c>
      <c r="G11" s="103">
        <f t="shared" si="0"/>
        <v>1350.2349999999999</v>
      </c>
      <c r="H11" s="104"/>
      <c r="I11" s="105">
        <v>200</v>
      </c>
      <c r="J11" s="100"/>
      <c r="K11" s="122"/>
      <c r="L11" s="100"/>
      <c r="M11" s="111"/>
    </row>
    <row r="12" spans="1:14" x14ac:dyDescent="0.2">
      <c r="A12" s="94" t="s">
        <v>26</v>
      </c>
      <c r="B12" s="95" t="s">
        <v>88</v>
      </c>
      <c r="C12" s="95" t="s">
        <v>43</v>
      </c>
      <c r="D12" s="88" t="s">
        <v>13</v>
      </c>
      <c r="E12" s="96">
        <v>9.5</v>
      </c>
      <c r="F12" s="113">
        <f>117.22-30</f>
        <v>87.22</v>
      </c>
      <c r="G12" s="90">
        <f t="shared" si="0"/>
        <v>828.59</v>
      </c>
      <c r="H12" s="91"/>
      <c r="I12" s="92">
        <v>165.27500000000001</v>
      </c>
      <c r="J12" s="5"/>
      <c r="K12" s="120"/>
      <c r="L12" s="5"/>
      <c r="M12" s="111"/>
    </row>
    <row r="13" spans="1:14" x14ac:dyDescent="0.2">
      <c r="A13" s="100" t="s">
        <v>26</v>
      </c>
      <c r="B13" s="106" t="s">
        <v>15</v>
      </c>
      <c r="C13" s="106" t="s">
        <v>14</v>
      </c>
      <c r="D13" s="101" t="s">
        <v>13</v>
      </c>
      <c r="E13" s="108">
        <v>9.5</v>
      </c>
      <c r="F13" s="112">
        <f>167.23-40</f>
        <v>127.22999999999999</v>
      </c>
      <c r="G13" s="103">
        <f t="shared" si="0"/>
        <v>1208.6849999999999</v>
      </c>
      <c r="H13" s="114"/>
      <c r="I13" s="99">
        <f>127.33+40</f>
        <v>167.32999999999998</v>
      </c>
      <c r="J13" s="100"/>
      <c r="K13" s="122"/>
      <c r="L13" s="100"/>
      <c r="M13" s="111"/>
    </row>
    <row r="14" spans="1:14" x14ac:dyDescent="0.2">
      <c r="A14" s="5" t="s">
        <v>26</v>
      </c>
      <c r="B14" s="5" t="s">
        <v>62</v>
      </c>
      <c r="C14" s="5" t="s">
        <v>43</v>
      </c>
      <c r="D14" s="88" t="s">
        <v>13</v>
      </c>
      <c r="E14" s="96">
        <v>9.5</v>
      </c>
      <c r="F14" s="124">
        <f>149.91-30</f>
        <v>119.91</v>
      </c>
      <c r="G14" s="90">
        <f t="shared" si="0"/>
        <v>1139.145</v>
      </c>
      <c r="H14" s="92"/>
      <c r="I14" s="92">
        <v>230</v>
      </c>
      <c r="J14" s="5"/>
      <c r="K14" s="120"/>
      <c r="L14" s="5"/>
      <c r="M14" s="111"/>
    </row>
    <row r="15" spans="1:14" x14ac:dyDescent="0.2">
      <c r="A15" s="100" t="s">
        <v>53</v>
      </c>
      <c r="B15" s="100" t="s">
        <v>56</v>
      </c>
      <c r="C15" s="100" t="s">
        <v>57</v>
      </c>
      <c r="D15" s="101" t="s">
        <v>13</v>
      </c>
      <c r="E15" s="108">
        <v>8</v>
      </c>
      <c r="F15" s="100">
        <v>121.76</v>
      </c>
      <c r="G15" s="103">
        <f t="shared" si="0"/>
        <v>974.08</v>
      </c>
      <c r="H15" s="105"/>
      <c r="I15" s="105"/>
      <c r="J15" s="100"/>
      <c r="K15" s="122">
        <v>1</v>
      </c>
      <c r="L15" s="100"/>
      <c r="M15" s="111"/>
    </row>
    <row r="16" spans="1:14" x14ac:dyDescent="0.2">
      <c r="A16" s="5" t="s">
        <v>54</v>
      </c>
      <c r="B16" s="5" t="s">
        <v>61</v>
      </c>
      <c r="C16" s="5" t="s">
        <v>60</v>
      </c>
      <c r="D16" s="88" t="s">
        <v>13</v>
      </c>
      <c r="E16" s="96">
        <v>9.5</v>
      </c>
      <c r="F16" s="5">
        <v>64</v>
      </c>
      <c r="G16" s="90">
        <f t="shared" si="0"/>
        <v>608</v>
      </c>
      <c r="H16" s="92"/>
      <c r="I16" s="92"/>
      <c r="J16" s="5"/>
      <c r="K16" s="120">
        <v>3</v>
      </c>
      <c r="L16" s="5"/>
      <c r="M16" s="111"/>
    </row>
    <row r="17" spans="1:13" x14ac:dyDescent="0.2">
      <c r="A17" s="100" t="s">
        <v>72</v>
      </c>
      <c r="B17" s="100" t="s">
        <v>67</v>
      </c>
      <c r="C17" s="100" t="s">
        <v>70</v>
      </c>
      <c r="D17" s="101" t="s">
        <v>13</v>
      </c>
      <c r="E17" s="108">
        <v>8</v>
      </c>
      <c r="F17" s="100">
        <v>98.02</v>
      </c>
      <c r="G17" s="103">
        <f t="shared" si="0"/>
        <v>784.16</v>
      </c>
      <c r="H17" s="105"/>
      <c r="I17" s="105"/>
      <c r="J17" s="100"/>
      <c r="K17" s="122">
        <v>0.5</v>
      </c>
      <c r="L17" s="100"/>
      <c r="M17" s="111"/>
    </row>
    <row r="18" spans="1:13" x14ac:dyDescent="0.2">
      <c r="A18" s="5" t="s">
        <v>72</v>
      </c>
      <c r="B18" s="5" t="s">
        <v>68</v>
      </c>
      <c r="C18" s="5" t="s">
        <v>69</v>
      </c>
      <c r="D18" s="88" t="s">
        <v>13</v>
      </c>
      <c r="E18" s="96">
        <v>9</v>
      </c>
      <c r="F18" s="5">
        <v>106.96</v>
      </c>
      <c r="G18" s="90">
        <f t="shared" si="0"/>
        <v>962.64</v>
      </c>
      <c r="H18" s="92"/>
      <c r="I18" s="92"/>
      <c r="J18" s="5"/>
      <c r="K18" s="120">
        <v>1</v>
      </c>
      <c r="L18" s="5"/>
      <c r="M18" s="111"/>
    </row>
    <row r="19" spans="1:13" ht="17" customHeight="1" x14ac:dyDescent="0.2">
      <c r="A19" s="100" t="s">
        <v>38</v>
      </c>
      <c r="B19" s="100" t="s">
        <v>73</v>
      </c>
      <c r="C19" s="100" t="s">
        <v>74</v>
      </c>
      <c r="D19" s="101" t="s">
        <v>13</v>
      </c>
      <c r="E19" s="108">
        <v>9.6999999999999993</v>
      </c>
      <c r="F19" s="100">
        <v>137.9</v>
      </c>
      <c r="G19" s="103">
        <f t="shared" si="0"/>
        <v>1337.6299999999999</v>
      </c>
      <c r="H19" s="105"/>
      <c r="I19" s="105"/>
      <c r="J19" s="100" t="s">
        <v>71</v>
      </c>
      <c r="K19" s="122">
        <v>1</v>
      </c>
      <c r="L19" s="100"/>
      <c r="M19" s="111"/>
    </row>
    <row r="20" spans="1:13" ht="17" customHeight="1" x14ac:dyDescent="0.2">
      <c r="A20" s="5" t="s">
        <v>38</v>
      </c>
      <c r="B20" s="125" t="s">
        <v>80</v>
      </c>
      <c r="C20" s="5" t="s">
        <v>76</v>
      </c>
      <c r="D20" s="88" t="s">
        <v>13</v>
      </c>
      <c r="E20" s="118">
        <v>9.5</v>
      </c>
      <c r="F20" s="98">
        <v>133.21</v>
      </c>
      <c r="G20" s="90">
        <f t="shared" si="0"/>
        <v>1265.4950000000001</v>
      </c>
      <c r="H20" s="92"/>
      <c r="I20" s="92"/>
      <c r="J20" s="5" t="s">
        <v>71</v>
      </c>
      <c r="K20" s="120">
        <v>1.5</v>
      </c>
      <c r="L20" s="5"/>
      <c r="M20" s="111"/>
    </row>
    <row r="21" spans="1:13" ht="17" customHeight="1" x14ac:dyDescent="0.2">
      <c r="A21" s="100" t="s">
        <v>72</v>
      </c>
      <c r="B21" s="126" t="s">
        <v>81</v>
      </c>
      <c r="C21" s="100" t="s">
        <v>77</v>
      </c>
      <c r="D21" s="101" t="s">
        <v>13</v>
      </c>
      <c r="E21" s="119">
        <v>8.5</v>
      </c>
      <c r="F21" s="109">
        <v>97.82</v>
      </c>
      <c r="G21" s="103">
        <f t="shared" si="0"/>
        <v>831.46999999999991</v>
      </c>
      <c r="H21" s="105"/>
      <c r="I21" s="105"/>
      <c r="J21" s="100" t="s">
        <v>71</v>
      </c>
      <c r="K21" s="122">
        <v>1</v>
      </c>
      <c r="L21" s="100"/>
      <c r="M21" s="111"/>
    </row>
    <row r="22" spans="1:13" ht="17" customHeight="1" x14ac:dyDescent="0.2">
      <c r="A22" s="5" t="s">
        <v>72</v>
      </c>
      <c r="B22" s="125" t="s">
        <v>82</v>
      </c>
      <c r="C22" s="5" t="s">
        <v>87</v>
      </c>
      <c r="D22" s="88" t="s">
        <v>13</v>
      </c>
      <c r="E22" s="118">
        <v>8</v>
      </c>
      <c r="F22" s="98">
        <v>75.53</v>
      </c>
      <c r="G22" s="90">
        <f t="shared" si="0"/>
        <v>604.24</v>
      </c>
      <c r="H22" s="92"/>
      <c r="I22" s="92"/>
      <c r="J22" s="5" t="s">
        <v>71</v>
      </c>
      <c r="K22" s="120"/>
      <c r="L22" s="5"/>
      <c r="M22" s="111"/>
    </row>
    <row r="23" spans="1:13" ht="17" customHeight="1" x14ac:dyDescent="0.2">
      <c r="A23" s="100" t="s">
        <v>72</v>
      </c>
      <c r="B23" s="126" t="s">
        <v>85</v>
      </c>
      <c r="C23" s="100" t="s">
        <v>79</v>
      </c>
      <c r="D23" s="101" t="s">
        <v>13</v>
      </c>
      <c r="E23" s="119">
        <v>9.5</v>
      </c>
      <c r="F23" s="109">
        <v>168.36</v>
      </c>
      <c r="G23" s="103">
        <f t="shared" si="0"/>
        <v>1599.42</v>
      </c>
      <c r="H23" s="105"/>
      <c r="I23" s="105"/>
      <c r="J23" s="100" t="s">
        <v>71</v>
      </c>
      <c r="K23" s="122">
        <v>1.5</v>
      </c>
      <c r="L23" s="100"/>
      <c r="M23" s="111"/>
    </row>
    <row r="24" spans="1:13" ht="17" customHeight="1" x14ac:dyDescent="0.2">
      <c r="A24" s="5" t="s">
        <v>72</v>
      </c>
      <c r="B24" s="125" t="s">
        <v>158</v>
      </c>
      <c r="C24" s="5" t="s">
        <v>171</v>
      </c>
      <c r="D24" s="88" t="s">
        <v>13</v>
      </c>
      <c r="E24" s="118">
        <v>9</v>
      </c>
      <c r="F24" s="98">
        <v>7.13</v>
      </c>
      <c r="G24" s="90">
        <f t="shared" si="0"/>
        <v>64.17</v>
      </c>
      <c r="H24" s="92"/>
      <c r="I24" s="92"/>
      <c r="J24" s="5"/>
      <c r="K24" s="120"/>
      <c r="L24" s="5"/>
      <c r="M24" s="111"/>
    </row>
    <row r="25" spans="1:13" ht="17" customHeight="1" x14ac:dyDescent="0.2">
      <c r="A25" s="100" t="s">
        <v>72</v>
      </c>
      <c r="B25" s="126" t="s">
        <v>159</v>
      </c>
      <c r="C25" s="100" t="s">
        <v>161</v>
      </c>
      <c r="D25" s="101" t="s">
        <v>13</v>
      </c>
      <c r="E25" s="119">
        <v>10.5</v>
      </c>
      <c r="F25" s="109">
        <v>35.53</v>
      </c>
      <c r="G25" s="103">
        <f t="shared" si="0"/>
        <v>373.065</v>
      </c>
      <c r="H25" s="105"/>
      <c r="I25" s="105"/>
      <c r="J25" s="100" t="s">
        <v>86</v>
      </c>
      <c r="K25" s="122"/>
      <c r="L25" s="100"/>
      <c r="M25" s="111"/>
    </row>
    <row r="26" spans="1:13" ht="17" customHeight="1" x14ac:dyDescent="0.2">
      <c r="A26" s="5" t="s">
        <v>72</v>
      </c>
      <c r="B26" s="125" t="s">
        <v>160</v>
      </c>
      <c r="C26" s="5" t="s">
        <v>172</v>
      </c>
      <c r="D26" s="88" t="s">
        <v>13</v>
      </c>
      <c r="E26" s="118">
        <v>9</v>
      </c>
      <c r="F26" s="98">
        <v>13.6</v>
      </c>
      <c r="G26" s="90">
        <f t="shared" si="0"/>
        <v>122.39999999999999</v>
      </c>
      <c r="H26" s="92"/>
      <c r="I26" s="92"/>
      <c r="J26" s="5" t="s">
        <v>86</v>
      </c>
      <c r="K26" s="120"/>
      <c r="L26" s="5"/>
      <c r="M26" s="111"/>
    </row>
    <row r="27" spans="1:13" ht="17" customHeight="1" thickBot="1" x14ac:dyDescent="0.25">
      <c r="A27" s="127"/>
      <c r="B27" s="128"/>
      <c r="C27" s="127"/>
      <c r="D27" s="115"/>
      <c r="E27" s="129"/>
      <c r="F27" s="116"/>
      <c r="G27" s="117"/>
      <c r="H27" s="130"/>
      <c r="I27" s="130"/>
      <c r="J27" s="127"/>
      <c r="K27" s="131"/>
      <c r="L27" s="127"/>
      <c r="M27" s="111"/>
    </row>
    <row r="28" spans="1:13" ht="17" customHeight="1" thickTop="1" x14ac:dyDescent="0.2">
      <c r="A28" s="54"/>
      <c r="B28" s="56"/>
      <c r="C28" s="54"/>
      <c r="D28" s="37"/>
      <c r="E28" s="68"/>
      <c r="F28" s="67"/>
      <c r="G28" s="57">
        <f>SUM(G6:G27)</f>
        <v>20954.183999999997</v>
      </c>
      <c r="H28" s="57">
        <f>SUM(H6:H27)</f>
        <v>375</v>
      </c>
      <c r="I28" s="69">
        <f>SUM(I11:I14)</f>
        <v>762.60500000000002</v>
      </c>
      <c r="J28" s="54"/>
      <c r="K28" s="80"/>
      <c r="L28" s="54"/>
    </row>
    <row r="29" spans="1:13" ht="17" customHeight="1" x14ac:dyDescent="0.2">
      <c r="A29" s="54"/>
      <c r="B29" s="56"/>
      <c r="C29" s="54"/>
      <c r="D29" s="37"/>
      <c r="E29" s="68"/>
      <c r="F29" s="67"/>
      <c r="G29" s="57"/>
      <c r="H29" s="69"/>
      <c r="I29" s="69"/>
      <c r="J29" s="54"/>
      <c r="K29" s="80"/>
      <c r="L29" s="54"/>
    </row>
    <row r="30" spans="1:13" ht="17" customHeight="1" x14ac:dyDescent="0.2">
      <c r="A30" s="54"/>
      <c r="B30" s="56"/>
      <c r="C30" s="54"/>
      <c r="D30" s="37"/>
      <c r="E30" s="68"/>
      <c r="F30" s="67"/>
      <c r="G30" s="57"/>
      <c r="H30" s="69"/>
      <c r="I30" s="69"/>
      <c r="J30" s="54"/>
      <c r="K30" s="80"/>
      <c r="L30" s="54"/>
    </row>
    <row r="31" spans="1:13" ht="19" customHeight="1" x14ac:dyDescent="0.2">
      <c r="A31" s="54"/>
      <c r="B31" s="56"/>
      <c r="C31" s="54"/>
      <c r="D31" s="37"/>
      <c r="E31" s="68"/>
      <c r="F31" s="67"/>
      <c r="G31" s="57"/>
      <c r="H31" s="69"/>
      <c r="I31" s="69"/>
      <c r="J31" s="54"/>
      <c r="K31" s="80"/>
      <c r="L31" s="54"/>
    </row>
    <row r="32" spans="1:13" ht="17" customHeight="1" x14ac:dyDescent="0.2">
      <c r="A32" s="54"/>
      <c r="B32" s="56"/>
      <c r="C32" s="54"/>
      <c r="D32" s="37"/>
      <c r="E32" s="68"/>
      <c r="F32" s="67"/>
      <c r="G32" s="57"/>
      <c r="H32" s="69"/>
      <c r="I32" s="69"/>
      <c r="J32" s="54"/>
      <c r="K32" s="80"/>
      <c r="L32" s="54"/>
    </row>
    <row r="33" spans="4:17" x14ac:dyDescent="0.2"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</row>
    <row r="34" spans="4:17" x14ac:dyDescent="0.2">
      <c r="D34" s="63"/>
      <c r="E34" s="63"/>
      <c r="F34" s="63"/>
      <c r="G34" s="63"/>
      <c r="H34" s="63" t="s">
        <v>29</v>
      </c>
      <c r="I34" s="63"/>
      <c r="J34" s="63"/>
      <c r="K34" s="63"/>
      <c r="L34" s="63"/>
      <c r="M34" s="63"/>
      <c r="N34" s="63"/>
      <c r="O34" s="63"/>
      <c r="P34" s="63"/>
      <c r="Q34" s="63"/>
    </row>
    <row r="35" spans="4:17" x14ac:dyDescent="0.2">
      <c r="D35" s="63"/>
      <c r="E35" s="63"/>
      <c r="F35" s="63"/>
      <c r="G35" s="66"/>
      <c r="H35" s="63"/>
      <c r="I35" s="63"/>
      <c r="J35" s="63"/>
      <c r="K35" s="63"/>
      <c r="L35" s="63"/>
      <c r="M35" s="63"/>
      <c r="N35" s="63"/>
      <c r="O35" s="63"/>
      <c r="P35" s="63"/>
      <c r="Q35" s="63"/>
    </row>
    <row r="36" spans="4:17" x14ac:dyDescent="0.2">
      <c r="D36" s="63"/>
      <c r="E36" s="63"/>
      <c r="F36" s="63"/>
      <c r="G36" s="63" t="s">
        <v>35</v>
      </c>
      <c r="H36" s="63"/>
      <c r="I36" s="63"/>
      <c r="J36" s="63"/>
      <c r="K36" s="63"/>
      <c r="L36" s="63"/>
      <c r="M36" s="63"/>
      <c r="N36" s="63"/>
      <c r="O36" s="63"/>
      <c r="P36" s="63"/>
      <c r="Q36" s="63"/>
    </row>
    <row r="37" spans="4:17" x14ac:dyDescent="0.2"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</row>
  </sheetData>
  <mergeCells count="1">
    <mergeCell ref="A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G7" sqref="G7"/>
    </sheetView>
  </sheetViews>
  <sheetFormatPr baseColWidth="10" defaultColWidth="11" defaultRowHeight="16" x14ac:dyDescent="0.2"/>
  <cols>
    <col min="1" max="1" width="11" style="3"/>
    <col min="2" max="2" width="23.5" style="3" customWidth="1"/>
    <col min="3" max="16384" width="11" style="3"/>
  </cols>
  <sheetData>
    <row r="1" spans="1:9" x14ac:dyDescent="0.2">
      <c r="A1" s="83" t="s">
        <v>195</v>
      </c>
      <c r="B1" s="83"/>
      <c r="C1" s="83"/>
      <c r="D1" s="83"/>
      <c r="E1" s="83"/>
      <c r="F1" s="83"/>
      <c r="G1" s="83"/>
      <c r="H1" s="83"/>
      <c r="I1" s="83"/>
    </row>
    <row r="2" spans="1:9" x14ac:dyDescent="0.2">
      <c r="A2" s="83"/>
      <c r="B2" s="83"/>
      <c r="C2" s="83"/>
      <c r="D2" s="83"/>
      <c r="E2" s="83"/>
      <c r="F2" s="83"/>
      <c r="G2" s="83"/>
      <c r="H2" s="83"/>
      <c r="I2" s="83"/>
    </row>
    <row r="4" spans="1:9" x14ac:dyDescent="0.2">
      <c r="A4" s="16"/>
      <c r="B4" s="38"/>
      <c r="C4" s="50" t="s">
        <v>23</v>
      </c>
    </row>
    <row r="5" spans="1:9" x14ac:dyDescent="0.2">
      <c r="A5" s="16"/>
      <c r="B5" s="16" t="s">
        <v>10</v>
      </c>
      <c r="C5" s="30">
        <f>'FOH '!G22+BOH!G28</f>
        <v>33436.203999999998</v>
      </c>
    </row>
    <row r="6" spans="1:9" x14ac:dyDescent="0.2">
      <c r="A6" s="16"/>
      <c r="B6" s="16" t="s">
        <v>17</v>
      </c>
      <c r="C6" s="30">
        <f>'FOH '!H22+BOH!H28</f>
        <v>760</v>
      </c>
    </row>
    <row r="7" spans="1:9" x14ac:dyDescent="0.2">
      <c r="A7" s="16"/>
      <c r="B7" s="16" t="s">
        <v>22</v>
      </c>
      <c r="C7" s="30">
        <f>BOH!I28</f>
        <v>762.60500000000002</v>
      </c>
    </row>
    <row r="8" spans="1:9" x14ac:dyDescent="0.2">
      <c r="A8" s="16"/>
      <c r="B8" s="16" t="s">
        <v>21</v>
      </c>
      <c r="C8" s="30">
        <f>'HOLIDAYS AND NOTES'!F25</f>
        <v>504</v>
      </c>
    </row>
    <row r="9" spans="1:9" ht="17" thickBot="1" x14ac:dyDescent="0.25">
      <c r="A9" s="16"/>
      <c r="B9" s="31" t="s">
        <v>24</v>
      </c>
      <c r="C9" s="32">
        <f>SUM(C5:C8)</f>
        <v>35462.809000000001</v>
      </c>
      <c r="E9" s="51"/>
      <c r="F9" s="21"/>
    </row>
    <row r="10" spans="1:9" ht="17" thickTop="1" x14ac:dyDescent="0.2"/>
    <row r="11" spans="1:9" x14ac:dyDescent="0.2">
      <c r="C11" s="49"/>
    </row>
    <row r="12" spans="1:9" x14ac:dyDescent="0.2">
      <c r="C12" s="33"/>
    </row>
    <row r="16" spans="1:9" x14ac:dyDescent="0.2">
      <c r="E16" s="52"/>
    </row>
  </sheetData>
  <mergeCells count="1">
    <mergeCell ref="A1:I2"/>
  </mergeCells>
  <pageMargins left="0.75" right="0.75" top="1" bottom="1" header="0.5" footer="0.5"/>
  <pageSetup paperSize="9" orientation="portrait" horizontalDpi="4294967292" vertic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6"/>
  <sheetViews>
    <sheetView topLeftCell="A2" workbookViewId="0">
      <selection activeCell="F11" sqref="F11"/>
    </sheetView>
  </sheetViews>
  <sheetFormatPr baseColWidth="10" defaultColWidth="8.83203125" defaultRowHeight="16" x14ac:dyDescent="0.2"/>
  <cols>
    <col min="1" max="1" width="18.1640625" style="3" customWidth="1"/>
    <col min="2" max="2" width="15.5" style="3" bestFit="1" customWidth="1"/>
    <col min="3" max="3" width="22.6640625" style="3" bestFit="1" customWidth="1"/>
    <col min="4" max="4" width="13.5" style="3" bestFit="1" customWidth="1"/>
    <col min="5" max="5" width="11.5" style="3" bestFit="1" customWidth="1"/>
    <col min="6" max="6" width="11.33203125" style="3" customWidth="1"/>
    <col min="7" max="255" width="11" style="3" customWidth="1"/>
    <col min="256" max="16384" width="8.83203125" style="3"/>
  </cols>
  <sheetData>
    <row r="1" spans="1:9" x14ac:dyDescent="0.2">
      <c r="C1" s="3" t="str">
        <f>+SUMMARY!A1</f>
        <v>PAYROLL    24th Jan 20th Feb UGLY DUMPLING  TEAM</v>
      </c>
    </row>
    <row r="3" spans="1:9" x14ac:dyDescent="0.2">
      <c r="A3" s="85" t="s">
        <v>6</v>
      </c>
      <c r="B3" s="85"/>
      <c r="C3" s="85"/>
      <c r="D3" s="85"/>
      <c r="E3" s="85"/>
      <c r="F3" s="85"/>
      <c r="G3" s="85"/>
    </row>
    <row r="4" spans="1:9" ht="24" x14ac:dyDescent="0.3">
      <c r="A4" s="86"/>
      <c r="B4" s="86"/>
      <c r="C4" s="86"/>
      <c r="D4" s="86"/>
      <c r="E4" s="86"/>
      <c r="F4" s="86"/>
      <c r="G4" s="86"/>
    </row>
    <row r="5" spans="1:9" x14ac:dyDescent="0.2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7</v>
      </c>
      <c r="G5" s="17"/>
    </row>
    <row r="6" spans="1:9" x14ac:dyDescent="0.2">
      <c r="A6" s="43"/>
      <c r="B6" s="44"/>
      <c r="C6" s="44"/>
      <c r="D6" s="45"/>
      <c r="E6" s="46"/>
      <c r="F6" s="47"/>
      <c r="G6" s="17"/>
    </row>
    <row r="7" spans="1:9" x14ac:dyDescent="0.2">
      <c r="A7" s="43" t="s">
        <v>11</v>
      </c>
      <c r="B7" s="44"/>
      <c r="C7" s="44"/>
      <c r="D7" s="45">
        <v>9</v>
      </c>
      <c r="E7" s="46">
        <v>56</v>
      </c>
      <c r="F7" s="47">
        <f>E7*D7</f>
        <v>504</v>
      </c>
      <c r="G7" s="17"/>
    </row>
    <row r="8" spans="1:9" ht="17" thickBot="1" x14ac:dyDescent="0.25">
      <c r="A8" s="7" t="s">
        <v>7</v>
      </c>
      <c r="B8" s="8"/>
      <c r="C8" s="8"/>
      <c r="D8" s="8"/>
      <c r="E8" s="8"/>
      <c r="F8" s="18">
        <f>+SUM(F6:F7)</f>
        <v>504</v>
      </c>
      <c r="G8" s="4"/>
    </row>
    <row r="9" spans="1:9" ht="17" thickTop="1" x14ac:dyDescent="0.2">
      <c r="A9" s="22"/>
      <c r="B9" s="20"/>
      <c r="C9" s="20"/>
      <c r="D9" s="20"/>
      <c r="E9" s="20"/>
      <c r="F9" s="23"/>
      <c r="G9" s="4"/>
    </row>
    <row r="10" spans="1:9" x14ac:dyDescent="0.2">
      <c r="A10" s="85" t="s">
        <v>25</v>
      </c>
      <c r="B10" s="85"/>
      <c r="C10" s="85"/>
      <c r="D10" s="85"/>
      <c r="E10" s="85"/>
      <c r="F10" s="85"/>
      <c r="G10" s="85"/>
      <c r="H10" s="5"/>
      <c r="I10" s="4"/>
    </row>
    <row r="11" spans="1:9" ht="24" x14ac:dyDescent="0.3">
      <c r="A11" s="12"/>
      <c r="B11" s="12"/>
      <c r="C11" s="12"/>
      <c r="G11" s="1"/>
      <c r="H11" s="1"/>
      <c r="I11" s="4"/>
    </row>
    <row r="12" spans="1:9" x14ac:dyDescent="0.2">
      <c r="A12" s="9" t="s">
        <v>1</v>
      </c>
      <c r="B12" s="9" t="s">
        <v>2</v>
      </c>
      <c r="C12" s="10" t="s">
        <v>13</v>
      </c>
      <c r="D12" s="9" t="s">
        <v>8</v>
      </c>
      <c r="E12" s="9" t="s">
        <v>9</v>
      </c>
      <c r="F12" s="9"/>
      <c r="G12" s="6"/>
      <c r="H12" s="1"/>
      <c r="I12" s="4"/>
    </row>
    <row r="13" spans="1:9" x14ac:dyDescent="0.2">
      <c r="A13" s="41"/>
      <c r="B13" s="41"/>
      <c r="C13" s="41"/>
      <c r="D13" s="41"/>
      <c r="E13" s="41"/>
      <c r="F13" s="42"/>
      <c r="G13" s="6"/>
      <c r="H13" s="1"/>
      <c r="I13" s="4"/>
    </row>
    <row r="14" spans="1:9" x14ac:dyDescent="0.2">
      <c r="A14" s="41"/>
      <c r="B14" s="41"/>
      <c r="C14" s="41"/>
      <c r="D14" s="41"/>
      <c r="E14" s="41"/>
      <c r="F14" s="42"/>
      <c r="G14" s="6"/>
      <c r="H14" s="1"/>
      <c r="I14" s="4"/>
    </row>
    <row r="15" spans="1:9" x14ac:dyDescent="0.2">
      <c r="A15" s="41"/>
      <c r="B15" s="41"/>
      <c r="C15" s="41"/>
      <c r="D15" s="41"/>
      <c r="E15" s="41"/>
      <c r="F15" s="42"/>
      <c r="G15" s="6"/>
      <c r="H15" s="1"/>
      <c r="I15" s="4"/>
    </row>
    <row r="16" spans="1:9" x14ac:dyDescent="0.2">
      <c r="A16" s="41"/>
      <c r="B16" s="41"/>
      <c r="C16" s="41"/>
      <c r="D16" s="41"/>
      <c r="E16" s="41"/>
      <c r="F16" s="42"/>
      <c r="G16" s="6"/>
      <c r="H16" s="1"/>
      <c r="I16" s="4"/>
    </row>
    <row r="17" spans="1:9" x14ac:dyDescent="0.2">
      <c r="A17" s="41"/>
      <c r="B17" s="41"/>
      <c r="C17" s="41"/>
      <c r="D17" s="41"/>
      <c r="E17" s="41"/>
      <c r="F17" s="42"/>
      <c r="G17" s="6"/>
      <c r="H17" s="1"/>
      <c r="I17" s="4"/>
    </row>
    <row r="18" spans="1:9" x14ac:dyDescent="0.2">
      <c r="A18" s="39"/>
      <c r="B18" s="39"/>
      <c r="C18" s="36"/>
      <c r="D18" s="35"/>
      <c r="E18" s="35"/>
      <c r="F18" s="5"/>
      <c r="G18" s="6"/>
      <c r="H18" s="1"/>
      <c r="I18" s="4"/>
    </row>
    <row r="19" spans="1:9" x14ac:dyDescent="0.2">
      <c r="A19" s="85" t="s">
        <v>20</v>
      </c>
      <c r="B19" s="85"/>
      <c r="C19" s="85"/>
      <c r="D19" s="85"/>
      <c r="E19" s="85"/>
      <c r="F19" s="85"/>
      <c r="G19" s="85"/>
    </row>
    <row r="20" spans="1:9" x14ac:dyDescent="0.2">
      <c r="A20" s="34"/>
      <c r="B20" s="34"/>
      <c r="C20" s="34"/>
      <c r="D20" s="34"/>
      <c r="E20" s="34"/>
      <c r="F20" s="34"/>
      <c r="G20" s="34"/>
    </row>
    <row r="21" spans="1:9" x14ac:dyDescent="0.2">
      <c r="A21" s="11" t="s">
        <v>1</v>
      </c>
      <c r="B21" s="11" t="s">
        <v>2</v>
      </c>
      <c r="C21" s="11" t="s">
        <v>3</v>
      </c>
      <c r="D21" s="11" t="s">
        <v>4</v>
      </c>
      <c r="E21" s="11" t="s">
        <v>5</v>
      </c>
      <c r="F21" s="11" t="s">
        <v>7</v>
      </c>
      <c r="G21" s="5"/>
    </row>
    <row r="22" spans="1:9" x14ac:dyDescent="0.2">
      <c r="A22" s="43"/>
      <c r="B22" s="44"/>
      <c r="C22" s="44"/>
      <c r="D22" s="45"/>
      <c r="E22" s="46"/>
      <c r="F22" s="47"/>
      <c r="G22" s="5"/>
    </row>
    <row r="23" spans="1:9" ht="17" thickBot="1" x14ac:dyDescent="0.25">
      <c r="A23" s="7"/>
      <c r="B23" s="8"/>
      <c r="C23" s="8"/>
      <c r="D23" s="8"/>
      <c r="E23" s="8"/>
      <c r="F23" s="19"/>
      <c r="G23" s="5"/>
    </row>
    <row r="24" spans="1:9" ht="17" thickTop="1" x14ac:dyDescent="0.2">
      <c r="A24" s="15"/>
      <c r="B24" s="15"/>
      <c r="C24" s="15"/>
      <c r="D24" s="13"/>
      <c r="E24" s="13"/>
      <c r="F24" s="14"/>
      <c r="G24" s="5"/>
    </row>
    <row r="25" spans="1:9" ht="17" thickBot="1" x14ac:dyDescent="0.25">
      <c r="A25" s="7" t="s">
        <v>21</v>
      </c>
      <c r="B25" s="8"/>
      <c r="C25" s="8"/>
      <c r="D25" s="8"/>
      <c r="E25" s="8"/>
      <c r="F25" s="19">
        <f>F22+F8</f>
        <v>504</v>
      </c>
    </row>
    <row r="26" spans="1:9" ht="17" thickTop="1" x14ac:dyDescent="0.2"/>
  </sheetData>
  <mergeCells count="4">
    <mergeCell ref="A10:G10"/>
    <mergeCell ref="A4:G4"/>
    <mergeCell ref="A19:G19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Q28"/>
  <sheetViews>
    <sheetView topLeftCell="A7" workbookViewId="0">
      <selection activeCell="B34" sqref="B34"/>
    </sheetView>
  </sheetViews>
  <sheetFormatPr baseColWidth="10" defaultColWidth="9" defaultRowHeight="16" x14ac:dyDescent="0.2"/>
  <cols>
    <col min="1" max="1" width="27.33203125" style="24" bestFit="1" customWidth="1"/>
    <col min="2" max="2" width="48" style="24" bestFit="1" customWidth="1"/>
    <col min="3" max="3" width="10.83203125" style="24" bestFit="1" customWidth="1"/>
    <col min="4" max="4" width="9" style="24"/>
    <col min="5" max="5" width="14.83203125" style="24" bestFit="1" customWidth="1"/>
    <col min="6" max="6" width="21.83203125" style="24" bestFit="1" customWidth="1"/>
    <col min="7" max="16384" width="9" style="24"/>
  </cols>
  <sheetData>
    <row r="1" spans="1:17" x14ac:dyDescent="0.2">
      <c r="B1" s="24" t="str">
        <f>+SUMMARY!A1</f>
        <v>PAYROLL    24th Jan 20th Feb UGLY DUMPLING  TEAM</v>
      </c>
    </row>
    <row r="2" spans="1:17" x14ac:dyDescent="0.2">
      <c r="A2" s="25" t="s">
        <v>16</v>
      </c>
      <c r="B2" s="25"/>
    </row>
    <row r="4" spans="1:17" x14ac:dyDescent="0.2">
      <c r="A4" s="26"/>
      <c r="B4" s="48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7"/>
    </row>
    <row r="5" spans="1:17" x14ac:dyDescent="0.2">
      <c r="A5" s="26"/>
      <c r="B5" s="4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7"/>
    </row>
    <row r="6" spans="1:17" x14ac:dyDescent="0.2">
      <c r="A6" s="26"/>
      <c r="B6" s="4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7"/>
    </row>
    <row r="7" spans="1:17" x14ac:dyDescent="0.2">
      <c r="A7" s="2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7"/>
    </row>
    <row r="8" spans="1:17" x14ac:dyDescent="0.2">
      <c r="A8" s="2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7"/>
    </row>
    <row r="9" spans="1:17" x14ac:dyDescent="0.2">
      <c r="A9" s="2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7"/>
    </row>
    <row r="10" spans="1:17" ht="17" thickBot="1" x14ac:dyDescent="0.25">
      <c r="A10" s="2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7"/>
    </row>
    <row r="11" spans="1:17" s="78" customFormat="1" ht="19" x14ac:dyDescent="0.25">
      <c r="A11" s="72"/>
      <c r="B11" s="73" t="s">
        <v>30</v>
      </c>
      <c r="C11" s="74" t="s">
        <v>27</v>
      </c>
      <c r="D11" s="74"/>
      <c r="E11" s="74" t="s">
        <v>31</v>
      </c>
      <c r="F11" s="74" t="s">
        <v>28</v>
      </c>
      <c r="G11" s="74" t="s">
        <v>32</v>
      </c>
      <c r="H11" s="74"/>
      <c r="I11" s="74" t="s">
        <v>47</v>
      </c>
      <c r="J11" s="75"/>
      <c r="K11" s="74"/>
      <c r="L11" s="74" t="s">
        <v>55</v>
      </c>
      <c r="M11" s="74"/>
      <c r="N11" s="74" t="s">
        <v>75</v>
      </c>
      <c r="O11" s="75"/>
      <c r="P11" s="76"/>
      <c r="Q11" s="77"/>
    </row>
    <row r="12" spans="1:17" x14ac:dyDescent="0.2">
      <c r="A12" s="26"/>
      <c r="B12" s="126" t="s">
        <v>98</v>
      </c>
      <c r="C12" s="133" t="s">
        <v>99</v>
      </c>
      <c r="D12" s="133"/>
      <c r="E12" s="134" t="s">
        <v>100</v>
      </c>
      <c r="F12" s="135" t="s">
        <v>101</v>
      </c>
      <c r="G12" s="136"/>
      <c r="H12" s="126"/>
      <c r="I12" s="137"/>
      <c r="J12" s="126"/>
      <c r="K12" s="126"/>
      <c r="L12" s="126"/>
      <c r="M12" s="126"/>
      <c r="N12" s="126"/>
      <c r="O12" s="126"/>
      <c r="P12" s="126"/>
      <c r="Q12" s="138"/>
    </row>
    <row r="13" spans="1:17" x14ac:dyDescent="0.2">
      <c r="A13" s="26"/>
      <c r="B13" s="126" t="s">
        <v>102</v>
      </c>
      <c r="C13" s="133" t="s">
        <v>103</v>
      </c>
      <c r="D13" s="133"/>
      <c r="E13" s="139" t="s">
        <v>104</v>
      </c>
      <c r="F13" s="135" t="s">
        <v>105</v>
      </c>
      <c r="G13" s="136"/>
      <c r="H13" s="126"/>
      <c r="I13" s="137"/>
      <c r="J13" s="126"/>
      <c r="K13" s="126"/>
      <c r="L13" s="126"/>
      <c r="M13" s="126"/>
      <c r="N13" s="126"/>
      <c r="O13" s="126"/>
      <c r="P13" s="126"/>
      <c r="Q13" s="138"/>
    </row>
    <row r="14" spans="1:17" x14ac:dyDescent="0.2">
      <c r="A14" s="26"/>
      <c r="B14" s="126" t="s">
        <v>106</v>
      </c>
      <c r="C14" s="133" t="s">
        <v>168</v>
      </c>
      <c r="D14" s="133"/>
      <c r="E14" s="134" t="s">
        <v>107</v>
      </c>
      <c r="F14" s="140" t="s">
        <v>108</v>
      </c>
      <c r="G14" s="136"/>
      <c r="H14" s="126"/>
      <c r="I14" s="137"/>
      <c r="J14" s="126"/>
      <c r="K14" s="126"/>
      <c r="L14" s="126"/>
      <c r="M14" s="126"/>
      <c r="N14" s="126"/>
      <c r="O14" s="126"/>
      <c r="P14" s="126"/>
      <c r="Q14" s="138"/>
    </row>
    <row r="15" spans="1:17" x14ac:dyDescent="0.2">
      <c r="A15" s="26"/>
      <c r="B15" s="126" t="s">
        <v>109</v>
      </c>
      <c r="C15" s="133" t="s">
        <v>110</v>
      </c>
      <c r="D15" s="133"/>
      <c r="E15" s="134" t="s">
        <v>137</v>
      </c>
      <c r="F15" s="135" t="s">
        <v>138</v>
      </c>
      <c r="G15" s="136" t="s">
        <v>139</v>
      </c>
      <c r="H15" s="126"/>
      <c r="I15" s="137"/>
      <c r="J15" s="126"/>
      <c r="K15" s="126"/>
      <c r="L15" s="126"/>
      <c r="M15" s="126"/>
      <c r="N15" s="126"/>
      <c r="O15" s="126"/>
      <c r="P15" s="126"/>
      <c r="Q15" s="138"/>
    </row>
    <row r="16" spans="1:17" x14ac:dyDescent="0.2">
      <c r="A16" s="26"/>
      <c r="B16" s="126" t="s">
        <v>111</v>
      </c>
      <c r="C16" s="133" t="s">
        <v>112</v>
      </c>
      <c r="D16" s="133"/>
      <c r="E16" s="134" t="s">
        <v>113</v>
      </c>
      <c r="F16" s="135" t="s">
        <v>114</v>
      </c>
      <c r="G16" s="136"/>
      <c r="H16" s="126"/>
      <c r="I16" s="137"/>
      <c r="J16" s="126"/>
      <c r="K16" s="126"/>
      <c r="L16" s="126"/>
      <c r="M16" s="126"/>
      <c r="N16" s="126"/>
      <c r="O16" s="126"/>
      <c r="P16" s="126"/>
      <c r="Q16" s="138"/>
    </row>
    <row r="17" spans="1:17" x14ac:dyDescent="0.2">
      <c r="A17" s="26"/>
      <c r="B17" s="126" t="s">
        <v>115</v>
      </c>
      <c r="C17" s="133" t="s">
        <v>116</v>
      </c>
      <c r="D17" s="133"/>
      <c r="E17" s="134" t="s">
        <v>117</v>
      </c>
      <c r="F17" s="135" t="s">
        <v>118</v>
      </c>
      <c r="G17" s="136"/>
      <c r="H17" s="126"/>
      <c r="I17" s="137"/>
      <c r="J17" s="126"/>
      <c r="K17" s="126"/>
      <c r="L17" s="126"/>
      <c r="M17" s="126"/>
      <c r="N17" s="126"/>
      <c r="O17" s="126"/>
      <c r="P17" s="126"/>
      <c r="Q17" s="138"/>
    </row>
    <row r="18" spans="1:17" x14ac:dyDescent="0.2">
      <c r="A18" s="29"/>
      <c r="B18" s="126" t="s">
        <v>119</v>
      </c>
      <c r="C18" s="133" t="s">
        <v>120</v>
      </c>
      <c r="D18" s="133"/>
      <c r="E18" s="134" t="s">
        <v>121</v>
      </c>
      <c r="F18" s="135" t="s">
        <v>122</v>
      </c>
      <c r="G18" s="141"/>
      <c r="H18" s="126"/>
      <c r="I18" s="141"/>
      <c r="J18" s="126"/>
      <c r="K18" s="126"/>
      <c r="L18" s="126"/>
      <c r="M18" s="126"/>
      <c r="N18" s="141"/>
      <c r="O18" s="126"/>
      <c r="P18" s="126"/>
      <c r="Q18" s="138"/>
    </row>
    <row r="19" spans="1:17" x14ac:dyDescent="0.2">
      <c r="A19" s="29"/>
      <c r="B19" s="126" t="s">
        <v>126</v>
      </c>
      <c r="C19" s="133" t="s">
        <v>127</v>
      </c>
      <c r="D19" s="133"/>
      <c r="E19" s="134" t="s">
        <v>166</v>
      </c>
      <c r="F19" s="135" t="s">
        <v>167</v>
      </c>
      <c r="G19" s="136" t="s">
        <v>140</v>
      </c>
      <c r="H19" s="126"/>
      <c r="I19" s="137" t="s">
        <v>125</v>
      </c>
      <c r="J19" s="126"/>
      <c r="K19" s="126"/>
      <c r="L19" s="126"/>
      <c r="M19" s="126"/>
      <c r="N19" s="126" t="s">
        <v>123</v>
      </c>
      <c r="O19" s="126"/>
      <c r="P19" s="126" t="s">
        <v>189</v>
      </c>
      <c r="Q19" s="138"/>
    </row>
    <row r="20" spans="1:17" x14ac:dyDescent="0.2">
      <c r="A20" s="29"/>
      <c r="B20" s="126" t="s">
        <v>128</v>
      </c>
      <c r="C20" s="133" t="s">
        <v>127</v>
      </c>
      <c r="D20" s="133"/>
      <c r="E20" s="139" t="s">
        <v>129</v>
      </c>
      <c r="F20" s="140" t="s">
        <v>130</v>
      </c>
      <c r="G20" s="136" t="s">
        <v>124</v>
      </c>
      <c r="H20" s="126"/>
      <c r="I20" s="137" t="s">
        <v>131</v>
      </c>
      <c r="J20" s="126"/>
      <c r="K20" s="126"/>
      <c r="L20" s="126"/>
      <c r="M20" s="126"/>
      <c r="N20" s="126" t="s">
        <v>132</v>
      </c>
      <c r="O20" s="126"/>
      <c r="P20" s="126"/>
      <c r="Q20" s="138"/>
    </row>
    <row r="21" spans="1:17" x14ac:dyDescent="0.2">
      <c r="A21" s="29"/>
      <c r="B21" s="126" t="s">
        <v>133</v>
      </c>
      <c r="C21" s="133" t="s">
        <v>134</v>
      </c>
      <c r="D21" s="133"/>
      <c r="E21" s="139" t="s">
        <v>164</v>
      </c>
      <c r="F21" s="140" t="s">
        <v>165</v>
      </c>
      <c r="G21" s="136"/>
      <c r="H21" s="126"/>
      <c r="I21" s="137"/>
      <c r="J21" s="126"/>
      <c r="K21" s="126"/>
      <c r="L21" s="126"/>
      <c r="M21" s="126"/>
      <c r="N21" s="126"/>
      <c r="O21" s="126"/>
      <c r="P21" s="126"/>
      <c r="Q21" s="138"/>
    </row>
    <row r="22" spans="1:17" x14ac:dyDescent="0.2">
      <c r="A22" s="29"/>
      <c r="B22" s="126" t="s">
        <v>135</v>
      </c>
      <c r="C22" s="133" t="s">
        <v>162</v>
      </c>
      <c r="D22" s="133"/>
      <c r="E22" s="140">
        <v>45098957</v>
      </c>
      <c r="F22" s="140" t="s">
        <v>136</v>
      </c>
      <c r="G22" s="136"/>
      <c r="H22" s="126"/>
      <c r="I22" s="137"/>
      <c r="J22" s="126"/>
      <c r="K22" s="126"/>
      <c r="L22" s="126"/>
      <c r="M22" s="126"/>
      <c r="N22" s="126"/>
      <c r="O22" s="126"/>
      <c r="P22" s="126"/>
      <c r="Q22" s="138"/>
    </row>
    <row r="23" spans="1:17" x14ac:dyDescent="0.2">
      <c r="A23" s="29"/>
      <c r="B23" s="126"/>
      <c r="C23" s="133"/>
      <c r="D23" s="133"/>
      <c r="E23" s="136"/>
      <c r="F23" s="140"/>
      <c r="G23" s="136"/>
      <c r="H23" s="126"/>
      <c r="I23" s="137"/>
      <c r="J23" s="126"/>
      <c r="K23" s="126"/>
      <c r="L23" s="126"/>
      <c r="M23" s="126"/>
      <c r="N23" s="126"/>
      <c r="O23" s="126"/>
      <c r="P23" s="126"/>
      <c r="Q23" s="138"/>
    </row>
    <row r="24" spans="1:17" x14ac:dyDescent="0.2">
      <c r="A24" s="26"/>
      <c r="B24" s="126"/>
      <c r="C24" s="133"/>
      <c r="D24" s="133"/>
      <c r="E24" s="136"/>
      <c r="F24" s="142"/>
      <c r="G24" s="136"/>
      <c r="H24" s="126"/>
      <c r="I24" s="137"/>
      <c r="J24" s="126"/>
      <c r="K24" s="126"/>
      <c r="L24" s="126"/>
      <c r="M24" s="126"/>
      <c r="N24" s="126"/>
      <c r="O24" s="126"/>
      <c r="P24" s="126"/>
      <c r="Q24" s="138"/>
    </row>
    <row r="25" spans="1:17" x14ac:dyDescent="0.2">
      <c r="A25" s="2"/>
      <c r="B25" s="126"/>
      <c r="C25" s="133"/>
      <c r="D25" s="143"/>
      <c r="E25" s="144"/>
      <c r="F25" s="144"/>
      <c r="G25" s="136"/>
      <c r="H25" s="126"/>
      <c r="I25" s="137"/>
      <c r="J25" s="126"/>
      <c r="K25" s="126"/>
      <c r="L25" s="126"/>
      <c r="M25" s="126"/>
      <c r="N25" s="126"/>
      <c r="O25" s="126"/>
      <c r="P25" s="126"/>
      <c r="Q25" s="138"/>
    </row>
    <row r="26" spans="1:17" x14ac:dyDescent="0.2">
      <c r="A26" s="26"/>
      <c r="B26" s="126"/>
      <c r="C26" s="133"/>
      <c r="D26" s="133"/>
      <c r="E26" s="136"/>
      <c r="F26" s="136"/>
      <c r="G26" s="136"/>
      <c r="H26" s="126"/>
      <c r="I26" s="126"/>
      <c r="J26" s="126"/>
      <c r="K26" s="126"/>
      <c r="L26" s="126"/>
      <c r="M26" s="126"/>
      <c r="N26" s="126"/>
      <c r="O26" s="126"/>
      <c r="P26" s="126"/>
      <c r="Q26" s="138"/>
    </row>
    <row r="27" spans="1:17" x14ac:dyDescent="0.2">
      <c r="A27" s="28"/>
      <c r="B27" s="145"/>
      <c r="C27" s="146"/>
      <c r="D27" s="146"/>
      <c r="E27" s="147"/>
      <c r="F27" s="147"/>
      <c r="G27" s="148"/>
      <c r="H27" s="145"/>
      <c r="I27" s="145"/>
      <c r="J27" s="145"/>
      <c r="K27" s="145"/>
      <c r="L27" s="145"/>
      <c r="M27" s="145"/>
      <c r="N27" s="145"/>
      <c r="O27" s="145"/>
      <c r="P27" s="145"/>
      <c r="Q27" s="149"/>
    </row>
    <row r="28" spans="1:17" x14ac:dyDescent="0.2">
      <c r="E28" s="40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K19"/>
  <sheetViews>
    <sheetView workbookViewId="0">
      <selection activeCell="K11" sqref="K11"/>
    </sheetView>
  </sheetViews>
  <sheetFormatPr baseColWidth="10" defaultRowHeight="16" x14ac:dyDescent="0.2"/>
  <cols>
    <col min="1" max="1" width="17.6640625" style="3" bestFit="1" customWidth="1"/>
    <col min="2" max="2" width="10.83203125" style="3"/>
    <col min="3" max="3" width="13.1640625" style="3" bestFit="1" customWidth="1"/>
    <col min="4" max="4" width="10.83203125" style="3"/>
    <col min="5" max="5" width="22.33203125" style="3" bestFit="1" customWidth="1"/>
    <col min="6" max="6" width="17.6640625" style="3" bestFit="1" customWidth="1"/>
    <col min="7" max="7" width="10.83203125" style="3"/>
    <col min="8" max="8" width="8.1640625" style="3" bestFit="1" customWidth="1"/>
    <col min="9" max="9" width="17.6640625" style="3" bestFit="1" customWidth="1"/>
    <col min="10" max="16384" width="10.83203125" style="3"/>
  </cols>
  <sheetData>
    <row r="6" spans="1:11" x14ac:dyDescent="0.2">
      <c r="C6" s="3" t="s">
        <v>185</v>
      </c>
      <c r="D6" s="3" t="s">
        <v>176</v>
      </c>
      <c r="E6" s="3" t="s">
        <v>186</v>
      </c>
      <c r="F6" s="3" t="s">
        <v>193</v>
      </c>
      <c r="G6" s="3" t="s">
        <v>187</v>
      </c>
      <c r="I6" s="3" t="s">
        <v>188</v>
      </c>
      <c r="J6" s="3" t="s">
        <v>180</v>
      </c>
    </row>
    <row r="7" spans="1:11" x14ac:dyDescent="0.2">
      <c r="B7" s="3" t="s">
        <v>173</v>
      </c>
      <c r="C7" s="3">
        <v>167.23</v>
      </c>
      <c r="D7" s="3">
        <f>$B$15*B16</f>
        <v>3600</v>
      </c>
      <c r="E7" s="3">
        <v>15685</v>
      </c>
      <c r="F7" s="3">
        <f>E7-D7</f>
        <v>12085</v>
      </c>
      <c r="G7" s="3">
        <f>C7-B16</f>
        <v>127.22999999999999</v>
      </c>
      <c r="H7" s="3">
        <f>G7*$B$14</f>
        <v>9542.25</v>
      </c>
      <c r="I7" s="3">
        <f>F7-H7</f>
        <v>2542.75</v>
      </c>
      <c r="J7" s="55">
        <f>I7*$B$13</f>
        <v>127.1375</v>
      </c>
      <c r="K7" s="3">
        <f>J7/G7</f>
        <v>0.99927297021142825</v>
      </c>
    </row>
    <row r="8" spans="1:11" x14ac:dyDescent="0.2">
      <c r="B8" s="3" t="s">
        <v>174</v>
      </c>
      <c r="C8" s="3">
        <v>117.22</v>
      </c>
      <c r="D8" s="3">
        <f t="shared" ref="D8:D10" si="0">$B$15*B17</f>
        <v>2700</v>
      </c>
      <c r="E8" s="3">
        <v>12547</v>
      </c>
      <c r="F8" s="3">
        <f t="shared" ref="F8:F11" si="1">E8-D8</f>
        <v>9847</v>
      </c>
      <c r="G8" s="3">
        <f t="shared" ref="G8:G10" si="2">C8-B17</f>
        <v>87.22</v>
      </c>
      <c r="H8" s="3">
        <f t="shared" ref="H8:H9" si="3">G8*$B$14</f>
        <v>6541.5</v>
      </c>
      <c r="I8" s="3">
        <f t="shared" ref="I8:I10" si="4">F8-H8</f>
        <v>3305.5</v>
      </c>
      <c r="J8" s="55">
        <f t="shared" ref="J8:J10" si="5">I8*$B$13</f>
        <v>165.27500000000001</v>
      </c>
      <c r="K8" s="132">
        <f t="shared" ref="K8:K9" si="6">J8/G8</f>
        <v>1.8949208897041965</v>
      </c>
    </row>
    <row r="9" spans="1:11" x14ac:dyDescent="0.2">
      <c r="B9" s="3" t="s">
        <v>175</v>
      </c>
      <c r="C9" s="3">
        <v>149.13</v>
      </c>
      <c r="D9" s="3">
        <f>$B$15*B18</f>
        <v>2700</v>
      </c>
      <c r="E9" s="3">
        <v>16254</v>
      </c>
      <c r="F9" s="3">
        <f t="shared" si="1"/>
        <v>13554</v>
      </c>
      <c r="G9" s="3">
        <f t="shared" si="2"/>
        <v>119.13</v>
      </c>
      <c r="H9" s="3">
        <f t="shared" si="3"/>
        <v>8934.75</v>
      </c>
      <c r="I9" s="3">
        <f t="shared" si="4"/>
        <v>4619.25</v>
      </c>
      <c r="J9" s="55">
        <f t="shared" si="5"/>
        <v>230.96250000000001</v>
      </c>
      <c r="K9" s="3">
        <f>J9/G9</f>
        <v>1.9387433895744146</v>
      </c>
    </row>
    <row r="10" spans="1:11" x14ac:dyDescent="0.2">
      <c r="B10" s="3" t="s">
        <v>192</v>
      </c>
      <c r="C10" s="3">
        <v>142</v>
      </c>
      <c r="D10" s="3">
        <f t="shared" si="0"/>
        <v>0</v>
      </c>
      <c r="E10" s="3">
        <v>15650</v>
      </c>
      <c r="F10" s="3">
        <f t="shared" si="1"/>
        <v>15650</v>
      </c>
      <c r="G10" s="3">
        <f t="shared" si="2"/>
        <v>142</v>
      </c>
      <c r="H10" s="3">
        <f>G10*$B$14</f>
        <v>10650</v>
      </c>
      <c r="I10" s="3">
        <f t="shared" si="4"/>
        <v>5000</v>
      </c>
      <c r="J10" s="55">
        <f t="shared" si="5"/>
        <v>250</v>
      </c>
      <c r="K10" s="3">
        <f>J10/C10</f>
        <v>1.7605633802816902</v>
      </c>
    </row>
    <row r="12" spans="1:11" x14ac:dyDescent="0.2">
      <c r="A12" s="3" t="s">
        <v>181</v>
      </c>
    </row>
    <row r="13" spans="1:11" x14ac:dyDescent="0.2">
      <c r="A13" s="3" t="s">
        <v>182</v>
      </c>
      <c r="B13" s="3">
        <v>0.05</v>
      </c>
    </row>
    <row r="14" spans="1:11" x14ac:dyDescent="0.2">
      <c r="A14" s="3" t="s">
        <v>183</v>
      </c>
      <c r="B14" s="3">
        <v>75</v>
      </c>
    </row>
    <row r="15" spans="1:11" x14ac:dyDescent="0.2">
      <c r="A15" s="3" t="s">
        <v>184</v>
      </c>
      <c r="B15" s="3">
        <v>90</v>
      </c>
    </row>
    <row r="16" spans="1:11" x14ac:dyDescent="0.2">
      <c r="A16" s="55" t="s">
        <v>178</v>
      </c>
      <c r="B16" s="3">
        <v>40</v>
      </c>
    </row>
    <row r="17" spans="1:2" x14ac:dyDescent="0.2">
      <c r="A17" s="55" t="s">
        <v>177</v>
      </c>
      <c r="B17" s="3">
        <v>30</v>
      </c>
    </row>
    <row r="18" spans="1:2" x14ac:dyDescent="0.2">
      <c r="A18" s="55" t="s">
        <v>179</v>
      </c>
      <c r="B18" s="3">
        <v>30</v>
      </c>
    </row>
    <row r="19" spans="1:2" x14ac:dyDescent="0.2">
      <c r="A19" s="3" t="s">
        <v>192</v>
      </c>
      <c r="B1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FOH </vt:lpstr>
      <vt:lpstr>BOH</vt:lpstr>
      <vt:lpstr>SUMMARY</vt:lpstr>
      <vt:lpstr>HOLIDAYS AND NOTES</vt:lpstr>
      <vt:lpstr>NOTES </vt:lpstr>
      <vt:lpstr>Sheet2</vt:lpstr>
      <vt:lpstr>'FOH '!Print_Area</vt:lpstr>
      <vt:lpstr>'HOLIDAYS AND NOTES'!Print_Area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2022-02-21T23:31:42Z</dcterms:modified>
</cp:coreProperties>
</file>