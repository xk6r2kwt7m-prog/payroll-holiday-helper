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2AF121CA-7574-AC4C-92E1-DC02A3222AB2}" xr6:coauthVersionLast="47" xr6:coauthVersionMax="47" xr10:uidLastSave="{00000000-0000-0000-0000-000000000000}"/>
  <bookViews>
    <workbookView xWindow="0" yWindow="500" windowWidth="28800" windowHeight="16340" tabRatio="500" activeTab="2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E10" i="2"/>
  <c r="E9" i="2"/>
  <c r="E8" i="2"/>
  <c r="E7" i="2"/>
  <c r="E6" i="2"/>
  <c r="F21" i="8" l="1"/>
  <c r="I12" i="8"/>
  <c r="E33" i="8"/>
  <c r="F20" i="8"/>
  <c r="B23" i="6"/>
  <c r="F31" i="8"/>
  <c r="I37" i="8" l="1"/>
  <c r="G20" i="8"/>
  <c r="G3" i="8"/>
  <c r="G4" i="8"/>
  <c r="G5" i="8"/>
  <c r="G6" i="8"/>
  <c r="G7" i="8"/>
  <c r="G8" i="8"/>
  <c r="G9" i="8"/>
  <c r="G10" i="8"/>
  <c r="G11" i="8"/>
  <c r="G13" i="8"/>
  <c r="G14" i="8"/>
  <c r="G16" i="8"/>
  <c r="G17" i="8"/>
  <c r="G18" i="8"/>
  <c r="G21" i="8"/>
  <c r="G22" i="8"/>
  <c r="G24" i="8"/>
  <c r="G25" i="8"/>
  <c r="G26" i="8"/>
  <c r="G28" i="8"/>
  <c r="G29" i="8"/>
  <c r="G30" i="8"/>
  <c r="G31" i="8"/>
  <c r="G32" i="8"/>
  <c r="G33" i="8"/>
  <c r="G34" i="8"/>
  <c r="G35" i="8"/>
  <c r="G36" i="8"/>
  <c r="G37" i="8"/>
  <c r="G2" i="8"/>
  <c r="G23" i="8"/>
  <c r="F6" i="2"/>
  <c r="G12" i="2"/>
  <c r="G26" i="6"/>
  <c r="F26" i="6"/>
  <c r="F27" i="6"/>
  <c r="E25" i="6"/>
  <c r="D8" i="6"/>
  <c r="F8" i="6" s="1"/>
  <c r="E10" i="6"/>
  <c r="G9" i="6"/>
  <c r="H9" i="6" s="1"/>
  <c r="G8" i="6"/>
  <c r="G10" i="6"/>
  <c r="H10" i="6" s="1"/>
  <c r="G11" i="6"/>
  <c r="F9" i="6"/>
  <c r="F10" i="6"/>
  <c r="F11" i="6"/>
  <c r="I11" i="6" s="1"/>
  <c r="D7" i="6"/>
  <c r="G12" i="8" l="1"/>
  <c r="G27" i="8"/>
  <c r="F12" i="2"/>
  <c r="C16" i="3" s="1"/>
  <c r="I10" i="6"/>
  <c r="J10" i="6" s="1"/>
  <c r="I9" i="6"/>
  <c r="J9" i="6" s="1"/>
  <c r="H8" i="6"/>
  <c r="I8" i="6" s="1"/>
  <c r="C60" i="8" l="1"/>
  <c r="I45" i="8" a="1"/>
  <c r="I45" i="8" s="1"/>
  <c r="L7" i="6" l="1"/>
  <c r="F7" i="6" l="1"/>
  <c r="G7" i="6" l="1"/>
  <c r="H7" i="6" l="1"/>
  <c r="L8" i="6"/>
  <c r="F19" i="8" s="1"/>
  <c r="G19" i="8" s="1"/>
  <c r="G38" i="8" s="1"/>
  <c r="C14" i="3" s="1"/>
  <c r="I7" i="6" l="1"/>
  <c r="J7" i="6" s="1"/>
  <c r="J8" i="6"/>
  <c r="I19" i="8" s="1"/>
  <c r="I38" i="8" s="1"/>
  <c r="K8" i="6" l="1"/>
  <c r="H38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<sst xmlns="http://schemas.openxmlformats.org/spreadsheetml/2006/main" count="221" uniqueCount="148">
  <si>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</si>
  <si>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</si>
  <si>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</si>
  <si>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</si>
  <si>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</si>
  <si>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</si>
  <si>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</si>
  <si>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</si>
  <si>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</si>
  <si>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</si>
  <si>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</si>
  <si>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</si>
  <si>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</si>
  <si>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</si>
  <si>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</si>
  <si>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</si>
  <si>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</si>
  <si>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</si>
  <si>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</si>
  <si>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</si>
  <si>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</si>
  <si>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</si>
  <si>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</si>
  <si>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</si>
  <si>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</si>
  <si>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</si>
  <si>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</si>
  <si>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</si>
  <si>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</si>
  <si>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</si>
  <si>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</si>
  <si>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</si>
  <si>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</si>
  <si>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</si>
  <si>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</si>
  <si>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</si>
  <si>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</si>
  <si>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</si>
  <si>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</si>
  <si>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</si>
  <si>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</si>
  <si>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</si>
  <si>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</si>
  <si>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</si>
  <si>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</si>
  <si>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</si>
  <si>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</si>
  <si>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</si>
  <si>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</si>
  <si>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</si>
  <si>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</si>
  <si>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</si>
  <si>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</si>
  <si>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</si>
  <si>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</si>
  <si>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</si>
  <si>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</si>
  <si>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</si>
  <si>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</si>
  <si>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</si>
  <si>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</si>
  <si>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</si>
  <si>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</si>
  <si>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</si>
  <si>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</si>
  <si>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</si>
  <si>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</si>
  <si>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</si>
  <si>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</si>
  <si>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</si>
  <si>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</si>
  <si>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</si>
  <si>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</si>
  <si>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</si>
  <si>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</si>
  <si>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</si>
  <si>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</si>
  <si>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</si>
  <si>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</si>
  <si>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</si>
  <si>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</si>
  <si>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</si>
  <si>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</si>
  <si>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</si>
  <si>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</si>
  <si>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</si>
  <si>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</si>
  <si>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</si>
  <si>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</si>
  <si>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</si>
  <si>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</si>
  <si>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</si>
  <si>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</si>
  <si>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</si>
  <si>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</si>
  <si>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Starter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</si>
  <si>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</si>
  <si>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</si>
  <si>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</si>
  <si>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</si>
  <si>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</si>
  <si>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</si>
  <si>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</si>
  <si>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</si>
  <si>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</si>
  <si>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</si>
  <si>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</si>
  <si>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</si>
  <si>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</si>
  <si>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</si>
  <si>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</si>
  <si>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</si>
  <si>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</si>
  <si>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</si>
  <si>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</si>
  <si>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</si>
  <si>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Arun</t>
  </si>
  <si>
    <t xml:space="preserve">Leaver </t>
  </si>
  <si>
    <t>Kitchen Ass. Manager (training)</t>
  </si>
  <si>
    <t xml:space="preserve"> </t>
  </si>
  <si>
    <t>Hannah</t>
  </si>
  <si>
    <t>Lauber</t>
  </si>
  <si>
    <t xml:space="preserve">Andrea </t>
  </si>
  <si>
    <t>Aakanksha</t>
  </si>
  <si>
    <t xml:space="preserve">Tasmin </t>
  </si>
  <si>
    <t xml:space="preserve">Akhter </t>
  </si>
  <si>
    <t xml:space="preserve">Roger </t>
  </si>
  <si>
    <t xml:space="preserve">Rodriguez </t>
  </si>
  <si>
    <t xml:space="preserve">Tamin </t>
  </si>
  <si>
    <t xml:space="preserve">Tammy </t>
  </si>
  <si>
    <t>§</t>
  </si>
  <si>
    <t>Mei Li (Tammy)</t>
  </si>
  <si>
    <t>pay rise 10</t>
  </si>
  <si>
    <t xml:space="preserve">Raiane </t>
  </si>
  <si>
    <t xml:space="preserve">De Sousa Wood Milton </t>
  </si>
  <si>
    <t xml:space="preserve">Aleksandra </t>
  </si>
  <si>
    <t>Kolesnik</t>
  </si>
  <si>
    <t>BOH</t>
  </si>
  <si>
    <t xml:space="preserve">Special Arrang. Bonus </t>
  </si>
  <si>
    <t>service charge increase to 2</t>
  </si>
  <si>
    <t>pay rise 10.5</t>
  </si>
  <si>
    <t xml:space="preserve">payrise 12.5 </t>
  </si>
  <si>
    <t>ss increase to 1</t>
  </si>
  <si>
    <t xml:space="preserve"> pay rise NMW</t>
  </si>
  <si>
    <t>Pay rise NMW</t>
  </si>
  <si>
    <t xml:space="preserve">Sai </t>
  </si>
  <si>
    <t xml:space="preserve">holiday </t>
  </si>
  <si>
    <t>PAYROLL  20th of February to 26th of  March 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</si>
</sst>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6" fontId="6" fillId="2" borderId="0" xfId="0" applyNumberFormat="1" applyFont="1" applyFill="1"/>
    <xf numFmtId="164" fontId="6" fillId="4" borderId="0" xfId="78" applyFont="1" applyFill="1" applyAlignment="1">
      <alignment horizontal="right" vertical="center"/>
    </xf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  <xf numFmtId="0" fontId="28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0" fontId="29" fillId="4" borderId="0" xfId="0" applyFont="1" applyFill="1"/>
    <xf numFmtId="0" fontId="2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opLeftCell="A5" workbookViewId="0">
      <selection activeCell="H28" sqref="H28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33" t="s">
        <v>147</v>
      </c>
      <c r="B7" s="133"/>
      <c r="C7" s="133"/>
      <c r="D7" s="133"/>
      <c r="E7" s="133"/>
      <c r="F7" s="133"/>
      <c r="G7" s="133"/>
      <c r="H7" s="133"/>
      <c r="I7" s="133"/>
    </row>
    <row r="8" spans="1:9" x14ac:dyDescent="0.2">
      <c r="A8" s="133"/>
      <c r="B8" s="133"/>
      <c r="C8" s="133"/>
      <c r="D8" s="133"/>
      <c r="E8" s="133"/>
      <c r="F8" s="133"/>
      <c r="G8" s="133"/>
      <c r="H8" s="133"/>
      <c r="I8" s="133"/>
    </row>
    <row r="9" spans="1:9" x14ac:dyDescent="0.2">
      <c r="A9" s="10"/>
      <c r="E9" s="24"/>
      <c r="F9" s="13"/>
    </row>
    <row r="12" spans="1:9" x14ac:dyDescent="0.2">
      <c r="C12" s="19"/>
    </row>
    <row r="13" spans="1:9" x14ac:dyDescent="0.2">
      <c r="B13" s="21"/>
      <c r="C13" s="23" t="s">
        <v>18</v>
      </c>
    </row>
    <row r="14" spans="1:9" x14ac:dyDescent="0.2">
      <c r="B14" s="10" t="s">
        <v>8</v>
      </c>
      <c r="C14" s="17">
        <f>'FOH&amp;BOH '!G38</f>
        <v>47829.73320000001</v>
      </c>
    </row>
    <row r="15" spans="1:9" x14ac:dyDescent="0.2">
      <c r="B15" s="10" t="s">
        <v>109</v>
      </c>
      <c r="C15" s="17">
        <f>'FOH&amp;BOH '!H38</f>
        <v>590</v>
      </c>
    </row>
    <row r="16" spans="1:9" x14ac:dyDescent="0.2">
      <c r="B16" s="10" t="s">
        <v>17</v>
      </c>
      <c r="C16" s="17">
        <f>'HOLIDAYS AND NOTES'!F12</f>
        <v>5321.76</v>
      </c>
    </row>
    <row r="17" spans="2:3" ht="17" thickBot="1" x14ac:dyDescent="0.25">
      <c r="B17" s="18" t="s">
        <v>19</v>
      </c>
      <c r="C17" s="79">
        <f>SUM(C14:C16)</f>
        <v>53741.493200000012</v>
      </c>
    </row>
    <row r="18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L60"/>
  <sheetViews>
    <sheetView zoomScale="102" zoomScaleNormal="102" workbookViewId="0">
      <selection activeCell="H36" sqref="H36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1" spans="1:12" x14ac:dyDescent="0.2">
      <c r="A1" s="27" t="s">
        <v>0</v>
      </c>
      <c r="B1" s="27" t="s">
        <v>1</v>
      </c>
      <c r="C1" s="27" t="s">
        <v>2</v>
      </c>
      <c r="D1" s="27" t="s">
        <v>49</v>
      </c>
      <c r="E1" s="27" t="s">
        <v>54</v>
      </c>
      <c r="F1" s="27" t="s">
        <v>5</v>
      </c>
      <c r="G1" s="27" t="s">
        <v>50</v>
      </c>
      <c r="H1" s="27" t="s">
        <v>57</v>
      </c>
      <c r="I1" s="27" t="s">
        <v>138</v>
      </c>
      <c r="J1" s="27" t="s">
        <v>51</v>
      </c>
      <c r="K1" s="27" t="s">
        <v>52</v>
      </c>
      <c r="L1" s="27" t="s">
        <v>53</v>
      </c>
    </row>
    <row r="2" spans="1:12" x14ac:dyDescent="0.2">
      <c r="A2" s="4" t="s">
        <v>15</v>
      </c>
      <c r="B2" s="4" t="s">
        <v>37</v>
      </c>
      <c r="C2" s="4" t="s">
        <v>38</v>
      </c>
      <c r="D2" s="90" t="s">
        <v>11</v>
      </c>
      <c r="E2" s="91">
        <v>10.5</v>
      </c>
      <c r="F2" s="90">
        <v>147.02000000000001</v>
      </c>
      <c r="G2" s="92">
        <f>(E2*F2)+K2*F2</f>
        <v>1911.26</v>
      </c>
      <c r="H2" s="93">
        <v>100</v>
      </c>
      <c r="I2" s="94"/>
      <c r="J2" s="4"/>
      <c r="K2" s="95">
        <v>2.5</v>
      </c>
      <c r="L2" s="4"/>
    </row>
    <row r="3" spans="1:12" x14ac:dyDescent="0.2">
      <c r="A3" s="7" t="s">
        <v>88</v>
      </c>
      <c r="B3" s="66" t="s">
        <v>26</v>
      </c>
      <c r="C3" s="66" t="s">
        <v>27</v>
      </c>
      <c r="D3" s="66" t="s">
        <v>11</v>
      </c>
      <c r="E3" s="119">
        <v>11</v>
      </c>
      <c r="F3" s="66"/>
      <c r="G3" s="67">
        <f t="shared" ref="G3:G37" si="0">(E3*F3)+K3*F3</f>
        <v>0</v>
      </c>
      <c r="H3" s="72"/>
      <c r="I3" s="8"/>
      <c r="J3" s="7"/>
      <c r="K3" s="68">
        <v>4</v>
      </c>
      <c r="L3" s="7" t="s">
        <v>146</v>
      </c>
    </row>
    <row r="4" spans="1:12" x14ac:dyDescent="0.2">
      <c r="A4" s="96" t="s">
        <v>102</v>
      </c>
      <c r="B4" s="97" t="s">
        <v>39</v>
      </c>
      <c r="C4" s="97" t="s">
        <v>40</v>
      </c>
      <c r="D4" s="90" t="s">
        <v>11</v>
      </c>
      <c r="E4" s="98">
        <v>11</v>
      </c>
      <c r="F4" s="90">
        <v>211.93</v>
      </c>
      <c r="G4" s="92">
        <f t="shared" si="0"/>
        <v>3072.9850000000001</v>
      </c>
      <c r="H4" s="93">
        <v>130</v>
      </c>
      <c r="I4" s="94"/>
      <c r="J4" s="4"/>
      <c r="K4" s="95">
        <v>3.5</v>
      </c>
      <c r="L4" s="4"/>
    </row>
    <row r="5" spans="1:12" x14ac:dyDescent="0.2">
      <c r="A5" s="7" t="s">
        <v>88</v>
      </c>
      <c r="B5" s="9" t="s">
        <v>76</v>
      </c>
      <c r="C5" s="7" t="s">
        <v>77</v>
      </c>
      <c r="D5" s="66" t="s">
        <v>11</v>
      </c>
      <c r="E5" s="68">
        <v>11</v>
      </c>
      <c r="F5" s="66">
        <v>216.82</v>
      </c>
      <c r="G5" s="67">
        <f t="shared" si="0"/>
        <v>3035.48</v>
      </c>
      <c r="H5" s="8">
        <v>140</v>
      </c>
      <c r="I5" s="8"/>
      <c r="J5" s="7"/>
      <c r="K5" s="68">
        <v>3</v>
      </c>
      <c r="L5" s="8"/>
    </row>
    <row r="6" spans="1:12" x14ac:dyDescent="0.2">
      <c r="A6" s="4" t="s">
        <v>15</v>
      </c>
      <c r="B6" s="96" t="s">
        <v>56</v>
      </c>
      <c r="C6" s="4" t="s">
        <v>55</v>
      </c>
      <c r="D6" s="90" t="s">
        <v>11</v>
      </c>
      <c r="E6" s="95">
        <v>10</v>
      </c>
      <c r="F6" s="90">
        <v>144.5</v>
      </c>
      <c r="G6" s="92">
        <f t="shared" si="0"/>
        <v>1661.75</v>
      </c>
      <c r="H6" s="94">
        <v>80</v>
      </c>
      <c r="I6" s="94"/>
      <c r="J6" s="4"/>
      <c r="K6" s="95">
        <v>1.5</v>
      </c>
      <c r="L6" s="118"/>
    </row>
    <row r="7" spans="1:12" x14ac:dyDescent="0.2">
      <c r="A7" s="120" t="s">
        <v>15</v>
      </c>
      <c r="B7" s="121" t="s">
        <v>103</v>
      </c>
      <c r="C7" s="120" t="s">
        <v>104</v>
      </c>
      <c r="D7" s="66" t="s">
        <v>11</v>
      </c>
      <c r="E7" s="122">
        <v>10</v>
      </c>
      <c r="F7" s="66">
        <v>146.76</v>
      </c>
      <c r="G7" s="67">
        <f t="shared" si="0"/>
        <v>1614.36</v>
      </c>
      <c r="H7" s="123"/>
      <c r="I7" s="123"/>
      <c r="J7" s="120"/>
      <c r="K7" s="122">
        <v>1</v>
      </c>
      <c r="L7" s="120" t="s">
        <v>132</v>
      </c>
    </row>
    <row r="8" spans="1:12" x14ac:dyDescent="0.2">
      <c r="A8" s="10" t="s">
        <v>15</v>
      </c>
      <c r="B8" s="99" t="s">
        <v>124</v>
      </c>
      <c r="C8" s="10" t="s">
        <v>125</v>
      </c>
      <c r="D8" s="90" t="s">
        <v>11</v>
      </c>
      <c r="E8" s="100">
        <v>8</v>
      </c>
      <c r="F8" s="90">
        <v>94.91</v>
      </c>
      <c r="G8" s="92">
        <f t="shared" si="0"/>
        <v>806.73500000000001</v>
      </c>
      <c r="H8" s="101"/>
      <c r="I8" s="101"/>
      <c r="J8" s="10"/>
      <c r="K8" s="100">
        <v>0.5</v>
      </c>
      <c r="L8" s="10"/>
    </row>
    <row r="9" spans="1:12" x14ac:dyDescent="0.2">
      <c r="A9" s="120" t="s">
        <v>15</v>
      </c>
      <c r="B9" s="121" t="s">
        <v>105</v>
      </c>
      <c r="C9" s="120" t="s">
        <v>106</v>
      </c>
      <c r="D9" s="66" t="s">
        <v>11</v>
      </c>
      <c r="E9" s="122">
        <v>8.5</v>
      </c>
      <c r="F9" s="66">
        <v>147.53</v>
      </c>
      <c r="G9" s="67">
        <f t="shared" si="0"/>
        <v>1327.7700000000002</v>
      </c>
      <c r="H9" s="123"/>
      <c r="I9" s="123"/>
      <c r="J9" s="120"/>
      <c r="K9" s="122">
        <v>0.5</v>
      </c>
      <c r="L9" s="120"/>
    </row>
    <row r="10" spans="1:12" x14ac:dyDescent="0.2">
      <c r="A10" s="10" t="s">
        <v>15</v>
      </c>
      <c r="B10" s="99" t="s">
        <v>120</v>
      </c>
      <c r="C10" s="10" t="s">
        <v>121</v>
      </c>
      <c r="D10" s="90" t="s">
        <v>11</v>
      </c>
      <c r="E10" s="100">
        <v>9.5</v>
      </c>
      <c r="F10" s="90">
        <v>188.06</v>
      </c>
      <c r="G10" s="92">
        <f t="shared" si="0"/>
        <v>1974.6299999999999</v>
      </c>
      <c r="H10" s="101"/>
      <c r="I10" s="101"/>
      <c r="J10" s="10"/>
      <c r="K10" s="100">
        <v>1</v>
      </c>
      <c r="L10" s="10" t="s">
        <v>142</v>
      </c>
    </row>
    <row r="11" spans="1:12" x14ac:dyDescent="0.2">
      <c r="A11" s="120" t="s">
        <v>15</v>
      </c>
      <c r="B11" s="121" t="s">
        <v>133</v>
      </c>
      <c r="C11" s="120" t="s">
        <v>134</v>
      </c>
      <c r="D11" s="66" t="s">
        <v>11</v>
      </c>
      <c r="E11" s="122">
        <v>10.41</v>
      </c>
      <c r="F11" s="66">
        <v>28.14</v>
      </c>
      <c r="G11" s="67">
        <f t="shared" si="0"/>
        <v>309.82140000000004</v>
      </c>
      <c r="H11" s="123"/>
      <c r="I11" s="123"/>
      <c r="J11" s="120"/>
      <c r="K11" s="122">
        <v>0.6</v>
      </c>
      <c r="L11" s="132" t="s">
        <v>117</v>
      </c>
    </row>
    <row r="12" spans="1:12" x14ac:dyDescent="0.2">
      <c r="A12" s="10" t="s">
        <v>113</v>
      </c>
      <c r="B12" s="99" t="s">
        <v>111</v>
      </c>
      <c r="C12" s="10" t="s">
        <v>112</v>
      </c>
      <c r="D12" s="90" t="s">
        <v>11</v>
      </c>
      <c r="E12" s="100">
        <v>10.42</v>
      </c>
      <c r="F12" s="90">
        <v>100</v>
      </c>
      <c r="G12" s="92">
        <f t="shared" si="0"/>
        <v>1142</v>
      </c>
      <c r="H12" s="101">
        <v>60</v>
      </c>
      <c r="I12" s="131">
        <f>+(106.63-100)*11</f>
        <v>72.92999999999995</v>
      </c>
      <c r="J12" s="10"/>
      <c r="K12" s="100">
        <v>1</v>
      </c>
      <c r="L12" s="10" t="s">
        <v>144</v>
      </c>
    </row>
    <row r="13" spans="1:12" x14ac:dyDescent="0.2">
      <c r="A13" s="120" t="s">
        <v>15</v>
      </c>
      <c r="B13" s="121" t="s">
        <v>135</v>
      </c>
      <c r="C13" s="120" t="s">
        <v>136</v>
      </c>
      <c r="D13" s="66" t="s">
        <v>11</v>
      </c>
      <c r="E13" s="122">
        <v>8.5</v>
      </c>
      <c r="F13" s="66">
        <v>94.08</v>
      </c>
      <c r="G13" s="67">
        <f t="shared" si="0"/>
        <v>893.76</v>
      </c>
      <c r="H13" s="123"/>
      <c r="I13" s="123"/>
      <c r="J13" s="120"/>
      <c r="K13" s="122">
        <v>1</v>
      </c>
      <c r="L13" s="120" t="s">
        <v>95</v>
      </c>
    </row>
    <row r="14" spans="1:12" x14ac:dyDescent="0.2">
      <c r="A14" s="10" t="s">
        <v>15</v>
      </c>
      <c r="B14" s="99" t="s">
        <v>122</v>
      </c>
      <c r="C14" s="10" t="s">
        <v>123</v>
      </c>
      <c r="D14" s="90" t="s">
        <v>11</v>
      </c>
      <c r="E14" s="100">
        <v>9.5</v>
      </c>
      <c r="F14" s="90">
        <v>0</v>
      </c>
      <c r="G14" s="92">
        <f t="shared" si="0"/>
        <v>0</v>
      </c>
      <c r="H14" s="101"/>
      <c r="I14" s="101"/>
      <c r="J14" s="10"/>
      <c r="K14" s="100">
        <v>1</v>
      </c>
      <c r="L14" s="10" t="s">
        <v>140</v>
      </c>
    </row>
    <row r="15" spans="1:12" x14ac:dyDescent="0.2">
      <c r="A15" s="134" t="s">
        <v>137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96" t="s">
        <v>28</v>
      </c>
      <c r="B16" s="97" t="s">
        <v>29</v>
      </c>
      <c r="C16" s="97" t="s">
        <v>30</v>
      </c>
      <c r="D16" s="90" t="s">
        <v>11</v>
      </c>
      <c r="E16" s="102">
        <v>10.42</v>
      </c>
      <c r="F16" s="97">
        <v>27.45</v>
      </c>
      <c r="G16" s="92">
        <f t="shared" si="0"/>
        <v>286.029</v>
      </c>
      <c r="H16" s="103"/>
      <c r="I16" s="92"/>
      <c r="J16" s="4"/>
      <c r="K16" s="95"/>
      <c r="L16" s="104" t="s">
        <v>144</v>
      </c>
    </row>
    <row r="17" spans="1:12" x14ac:dyDescent="0.2">
      <c r="A17" s="7" t="s">
        <v>16</v>
      </c>
      <c r="B17" s="7" t="s">
        <v>9</v>
      </c>
      <c r="C17" s="7" t="s">
        <v>10</v>
      </c>
      <c r="D17" s="66" t="s">
        <v>11</v>
      </c>
      <c r="E17" s="116">
        <v>10.7</v>
      </c>
      <c r="F17" s="7">
        <v>180.8</v>
      </c>
      <c r="G17" s="67">
        <f t="shared" si="0"/>
        <v>1934.56</v>
      </c>
      <c r="H17" s="72">
        <v>140</v>
      </c>
      <c r="I17" s="8"/>
      <c r="J17" s="7"/>
      <c r="K17" s="68"/>
      <c r="L17" s="80"/>
    </row>
    <row r="18" spans="1:12" x14ac:dyDescent="0.2">
      <c r="A18" s="96" t="s">
        <v>16</v>
      </c>
      <c r="B18" s="96" t="s">
        <v>23</v>
      </c>
      <c r="C18" s="96" t="s">
        <v>24</v>
      </c>
      <c r="D18" s="90" t="s">
        <v>11</v>
      </c>
      <c r="E18" s="102">
        <v>10.7</v>
      </c>
      <c r="F18" s="96">
        <v>212.07</v>
      </c>
      <c r="G18" s="92">
        <f t="shared" si="0"/>
        <v>2269.1489999999999</v>
      </c>
      <c r="H18" s="93">
        <v>140</v>
      </c>
      <c r="I18" s="94"/>
      <c r="J18" s="4"/>
      <c r="K18" s="95"/>
      <c r="L18" s="105"/>
    </row>
    <row r="19" spans="1:12" ht="18" customHeight="1" x14ac:dyDescent="0.2">
      <c r="A19" s="9" t="s">
        <v>20</v>
      </c>
      <c r="B19" s="69" t="s">
        <v>48</v>
      </c>
      <c r="C19" s="69" t="s">
        <v>25</v>
      </c>
      <c r="D19" s="66" t="s">
        <v>11</v>
      </c>
      <c r="E19" s="125">
        <v>10.42</v>
      </c>
      <c r="F19" s="71">
        <f>'Dumpling Bonus '!L8</f>
        <v>90.84</v>
      </c>
      <c r="G19" s="67">
        <f t="shared" si="0"/>
        <v>946.55280000000005</v>
      </c>
      <c r="H19" s="72"/>
      <c r="I19" s="8">
        <f>+'Dumpling Bonus '!J8</f>
        <v>237.55</v>
      </c>
      <c r="J19" s="7"/>
      <c r="K19" s="68"/>
      <c r="L19" s="81"/>
    </row>
    <row r="20" spans="1:12" x14ac:dyDescent="0.2">
      <c r="A20" s="4" t="s">
        <v>20</v>
      </c>
      <c r="B20" s="96" t="s">
        <v>13</v>
      </c>
      <c r="C20" s="96" t="s">
        <v>12</v>
      </c>
      <c r="D20" s="90" t="s">
        <v>11</v>
      </c>
      <c r="E20" s="124">
        <v>11</v>
      </c>
      <c r="F20" s="106">
        <f>228.75-100</f>
        <v>128.75</v>
      </c>
      <c r="G20" s="92">
        <f t="shared" si="0"/>
        <v>1545</v>
      </c>
      <c r="H20" s="107"/>
      <c r="I20" s="107"/>
      <c r="J20" s="4"/>
      <c r="K20" s="95">
        <v>1</v>
      </c>
      <c r="L20" s="104"/>
    </row>
    <row r="21" spans="1:12" ht="15" customHeight="1" x14ac:dyDescent="0.2">
      <c r="A21" s="7" t="s">
        <v>20</v>
      </c>
      <c r="B21" s="9" t="s">
        <v>73</v>
      </c>
      <c r="C21" s="9" t="s">
        <v>74</v>
      </c>
      <c r="D21" s="66" t="s">
        <v>11</v>
      </c>
      <c r="E21" s="70">
        <v>10.42</v>
      </c>
      <c r="F21" s="71">
        <f>208.8+19</f>
        <v>227.8</v>
      </c>
      <c r="G21" s="67">
        <f t="shared" si="0"/>
        <v>2373.6759999999999</v>
      </c>
      <c r="H21" s="73"/>
      <c r="I21" s="73"/>
      <c r="J21" s="7"/>
      <c r="K21" s="68"/>
      <c r="L21" s="81"/>
    </row>
    <row r="22" spans="1:12" x14ac:dyDescent="0.2">
      <c r="A22" s="4" t="s">
        <v>31</v>
      </c>
      <c r="B22" s="4" t="s">
        <v>33</v>
      </c>
      <c r="C22" s="4" t="s">
        <v>34</v>
      </c>
      <c r="D22" s="90" t="s">
        <v>11</v>
      </c>
      <c r="E22" s="102">
        <v>10</v>
      </c>
      <c r="F22" s="4">
        <v>156.63</v>
      </c>
      <c r="G22" s="92">
        <f t="shared" si="0"/>
        <v>1722.9299999999998</v>
      </c>
      <c r="H22" s="94">
        <v>80</v>
      </c>
      <c r="I22" s="94"/>
      <c r="J22" s="4"/>
      <c r="K22" s="95">
        <v>1</v>
      </c>
      <c r="L22" s="105"/>
    </row>
    <row r="23" spans="1:12" x14ac:dyDescent="0.2">
      <c r="A23" s="7" t="s">
        <v>43</v>
      </c>
      <c r="B23" s="7" t="s">
        <v>36</v>
      </c>
      <c r="C23" s="7" t="s">
        <v>35</v>
      </c>
      <c r="D23" s="66" t="s">
        <v>11</v>
      </c>
      <c r="E23" s="70">
        <v>10.42</v>
      </c>
      <c r="F23" s="117">
        <v>64</v>
      </c>
      <c r="G23" s="67">
        <f t="shared" si="0"/>
        <v>858.88</v>
      </c>
      <c r="H23" s="8"/>
      <c r="I23" s="8"/>
      <c r="J23" s="7"/>
      <c r="K23" s="68">
        <v>3</v>
      </c>
      <c r="L23" s="81"/>
    </row>
    <row r="24" spans="1:12" x14ac:dyDescent="0.2">
      <c r="A24" s="4" t="s">
        <v>43</v>
      </c>
      <c r="B24" s="4" t="s">
        <v>41</v>
      </c>
      <c r="C24" s="4" t="s">
        <v>42</v>
      </c>
      <c r="D24" s="90" t="s">
        <v>11</v>
      </c>
      <c r="E24" s="102">
        <v>9</v>
      </c>
      <c r="F24" s="4">
        <v>78.63</v>
      </c>
      <c r="G24" s="92">
        <f t="shared" si="0"/>
        <v>746.9849999999999</v>
      </c>
      <c r="H24" s="94"/>
      <c r="I24" s="94"/>
      <c r="J24" s="4"/>
      <c r="K24" s="95">
        <v>0.5</v>
      </c>
      <c r="L24" s="105"/>
    </row>
    <row r="25" spans="1:12" x14ac:dyDescent="0.2">
      <c r="A25" s="7" t="s">
        <v>43</v>
      </c>
      <c r="B25" s="9" t="s">
        <v>46</v>
      </c>
      <c r="C25" s="7" t="s">
        <v>47</v>
      </c>
      <c r="D25" s="66" t="s">
        <v>11</v>
      </c>
      <c r="E25" s="8">
        <v>8.5</v>
      </c>
      <c r="F25" s="74">
        <v>102.2</v>
      </c>
      <c r="G25" s="67">
        <f t="shared" si="0"/>
        <v>919.80000000000007</v>
      </c>
      <c r="H25" s="8"/>
      <c r="I25" s="8"/>
      <c r="J25" s="7"/>
      <c r="K25" s="68">
        <v>0.5</v>
      </c>
      <c r="L25" s="81"/>
    </row>
    <row r="26" spans="1:12" ht="17" customHeight="1" x14ac:dyDescent="0.2">
      <c r="A26" s="4" t="s">
        <v>43</v>
      </c>
      <c r="B26" s="96" t="s">
        <v>78</v>
      </c>
      <c r="C26" s="4" t="s">
        <v>79</v>
      </c>
      <c r="D26" s="90" t="s">
        <v>11</v>
      </c>
      <c r="E26" s="94">
        <v>9</v>
      </c>
      <c r="F26" s="108">
        <v>94.68</v>
      </c>
      <c r="G26" s="92">
        <f t="shared" si="0"/>
        <v>946.80000000000018</v>
      </c>
      <c r="H26" s="94"/>
      <c r="I26" s="94"/>
      <c r="J26" s="4"/>
      <c r="K26" s="95">
        <v>1</v>
      </c>
      <c r="L26" s="104"/>
    </row>
    <row r="27" spans="1:12" x14ac:dyDescent="0.2">
      <c r="A27" s="7" t="s">
        <v>118</v>
      </c>
      <c r="B27" s="9" t="s">
        <v>81</v>
      </c>
      <c r="C27" s="7" t="s">
        <v>80</v>
      </c>
      <c r="D27" s="66" t="s">
        <v>11</v>
      </c>
      <c r="E27" s="8">
        <v>10.42</v>
      </c>
      <c r="F27" s="74">
        <v>95</v>
      </c>
      <c r="G27" s="67">
        <f t="shared" si="0"/>
        <v>1084.9000000000001</v>
      </c>
      <c r="H27" s="130"/>
      <c r="I27" s="126"/>
      <c r="J27" s="7"/>
      <c r="K27" s="68">
        <v>1</v>
      </c>
      <c r="L27" s="81"/>
    </row>
    <row r="28" spans="1:12" x14ac:dyDescent="0.2">
      <c r="A28" s="4" t="s">
        <v>20</v>
      </c>
      <c r="B28" s="96" t="s">
        <v>82</v>
      </c>
      <c r="C28" s="4" t="s">
        <v>83</v>
      </c>
      <c r="D28" s="90" t="s">
        <v>11</v>
      </c>
      <c r="E28" s="94">
        <v>10.42</v>
      </c>
      <c r="F28" s="108">
        <v>103.34</v>
      </c>
      <c r="G28" s="92">
        <f t="shared" si="0"/>
        <v>1076.8027999999999</v>
      </c>
      <c r="H28" s="94"/>
      <c r="I28" s="94" t="s">
        <v>119</v>
      </c>
      <c r="J28" s="4"/>
      <c r="K28" s="95"/>
      <c r="L28" s="104"/>
    </row>
    <row r="29" spans="1:12" x14ac:dyDescent="0.2">
      <c r="A29" s="7" t="s">
        <v>20</v>
      </c>
      <c r="B29" s="9" t="s">
        <v>131</v>
      </c>
      <c r="C29" s="7" t="s">
        <v>99</v>
      </c>
      <c r="D29" s="66" t="s">
        <v>11</v>
      </c>
      <c r="E29" s="8">
        <v>10.42</v>
      </c>
      <c r="F29" s="74">
        <v>94.27</v>
      </c>
      <c r="G29" s="67">
        <f t="shared" si="0"/>
        <v>982.29339999999991</v>
      </c>
      <c r="H29" s="8"/>
      <c r="I29" s="8"/>
      <c r="J29" s="7"/>
      <c r="K29" s="68"/>
      <c r="L29" s="81"/>
    </row>
    <row r="30" spans="1:12" x14ac:dyDescent="0.2">
      <c r="A30" s="4" t="s">
        <v>43</v>
      </c>
      <c r="B30" s="96" t="s">
        <v>92</v>
      </c>
      <c r="C30" s="4" t="s">
        <v>90</v>
      </c>
      <c r="D30" s="90" t="s">
        <v>11</v>
      </c>
      <c r="E30" s="94">
        <v>10</v>
      </c>
      <c r="F30" s="108">
        <v>25.87</v>
      </c>
      <c r="G30" s="92">
        <f t="shared" si="0"/>
        <v>310.44</v>
      </c>
      <c r="H30" s="94"/>
      <c r="I30" s="94"/>
      <c r="J30" s="4"/>
      <c r="K30" s="95">
        <v>2</v>
      </c>
      <c r="L30" s="104" t="s">
        <v>144</v>
      </c>
    </row>
    <row r="31" spans="1:12" x14ac:dyDescent="0.2">
      <c r="A31" s="7" t="s">
        <v>43</v>
      </c>
      <c r="B31" s="9" t="s">
        <v>93</v>
      </c>
      <c r="C31" s="7" t="s">
        <v>91</v>
      </c>
      <c r="D31" s="66" t="s">
        <v>11</v>
      </c>
      <c r="E31" s="8">
        <v>10.42</v>
      </c>
      <c r="F31" s="74">
        <f>91.23-18</f>
        <v>73.23</v>
      </c>
      <c r="G31" s="67">
        <f t="shared" si="0"/>
        <v>909.51660000000004</v>
      </c>
      <c r="H31" s="8"/>
      <c r="I31" s="8"/>
      <c r="J31" s="7"/>
      <c r="K31" s="68">
        <v>2</v>
      </c>
      <c r="L31" s="81"/>
    </row>
    <row r="32" spans="1:12" x14ac:dyDescent="0.2">
      <c r="A32" s="109" t="s">
        <v>43</v>
      </c>
      <c r="B32" s="110" t="s">
        <v>97</v>
      </c>
      <c r="C32" s="110" t="s">
        <v>98</v>
      </c>
      <c r="D32" s="111" t="s">
        <v>11</v>
      </c>
      <c r="E32" s="112">
        <v>10.42</v>
      </c>
      <c r="F32" s="113">
        <v>142.24</v>
      </c>
      <c r="G32" s="92">
        <f t="shared" si="0"/>
        <v>1624.3808000000001</v>
      </c>
      <c r="H32" s="112"/>
      <c r="I32" s="112"/>
      <c r="J32" s="110"/>
      <c r="K32" s="114">
        <v>1</v>
      </c>
      <c r="L32" s="115" t="s">
        <v>143</v>
      </c>
    </row>
    <row r="33" spans="1:12" x14ac:dyDescent="0.2">
      <c r="A33" s="89" t="s">
        <v>110</v>
      </c>
      <c r="B33" s="9" t="s">
        <v>100</v>
      </c>
      <c r="C33" s="7" t="s">
        <v>101</v>
      </c>
      <c r="D33" s="66" t="s">
        <v>11</v>
      </c>
      <c r="E33" s="8">
        <f>10.7+1.8</f>
        <v>12.5</v>
      </c>
      <c r="F33" s="74">
        <v>187.42</v>
      </c>
      <c r="G33" s="67">
        <f t="shared" si="0"/>
        <v>2530.17</v>
      </c>
      <c r="H33" s="8">
        <v>80</v>
      </c>
      <c r="I33" s="8"/>
      <c r="J33" s="7"/>
      <c r="K33" s="68">
        <v>1</v>
      </c>
      <c r="L33" s="80" t="s">
        <v>141</v>
      </c>
    </row>
    <row r="34" spans="1:12" x14ac:dyDescent="0.2">
      <c r="A34" s="4" t="s">
        <v>43</v>
      </c>
      <c r="B34" s="96" t="s">
        <v>107</v>
      </c>
      <c r="C34" s="4" t="s">
        <v>108</v>
      </c>
      <c r="D34" s="90" t="s">
        <v>11</v>
      </c>
      <c r="E34" s="94">
        <v>10.42</v>
      </c>
      <c r="F34" s="108">
        <v>80.25</v>
      </c>
      <c r="G34" s="92">
        <f t="shared" si="0"/>
        <v>956.58</v>
      </c>
      <c r="H34" s="94"/>
      <c r="I34" s="94"/>
      <c r="J34" s="4"/>
      <c r="K34" s="95">
        <v>1.5</v>
      </c>
      <c r="L34" s="104" t="s">
        <v>144</v>
      </c>
    </row>
    <row r="35" spans="1:12" x14ac:dyDescent="0.2">
      <c r="A35" s="7" t="s">
        <v>43</v>
      </c>
      <c r="B35" s="9" t="s">
        <v>44</v>
      </c>
      <c r="C35" s="7" t="s">
        <v>96</v>
      </c>
      <c r="D35" s="66" t="s">
        <v>11</v>
      </c>
      <c r="E35" s="8">
        <v>10.7</v>
      </c>
      <c r="F35" s="74">
        <v>210.55</v>
      </c>
      <c r="G35" s="67">
        <f t="shared" si="0"/>
        <v>2673.9849999999997</v>
      </c>
      <c r="H35" s="8">
        <v>150</v>
      </c>
      <c r="I35" s="8"/>
      <c r="J35" s="7"/>
      <c r="K35" s="68">
        <v>2</v>
      </c>
      <c r="L35" s="80" t="s">
        <v>139</v>
      </c>
    </row>
    <row r="36" spans="1:12" x14ac:dyDescent="0.2">
      <c r="A36" s="4" t="s">
        <v>43</v>
      </c>
      <c r="B36" s="96" t="s">
        <v>126</v>
      </c>
      <c r="C36" s="4" t="s">
        <v>127</v>
      </c>
      <c r="D36" s="90" t="s">
        <v>11</v>
      </c>
      <c r="E36" s="94">
        <v>10.42</v>
      </c>
      <c r="F36" s="108">
        <v>189.12</v>
      </c>
      <c r="G36" s="92">
        <f t="shared" si="0"/>
        <v>2254.3103999999998</v>
      </c>
      <c r="H36" s="94"/>
      <c r="I36" s="94"/>
      <c r="J36" s="4"/>
      <c r="K36" s="95">
        <v>1.5</v>
      </c>
      <c r="L36" s="105" t="s">
        <v>144</v>
      </c>
    </row>
    <row r="37" spans="1:12" x14ac:dyDescent="0.2">
      <c r="A37" s="7" t="s">
        <v>43</v>
      </c>
      <c r="B37" s="120" t="s">
        <v>116</v>
      </c>
      <c r="C37" s="7"/>
      <c r="D37" s="66" t="s">
        <v>11</v>
      </c>
      <c r="E37" s="8">
        <v>10.42</v>
      </c>
      <c r="F37" s="74">
        <v>98.55</v>
      </c>
      <c r="G37" s="67">
        <f t="shared" si="0"/>
        <v>1125.441</v>
      </c>
      <c r="H37" s="8"/>
      <c r="I37" s="8">
        <f>9.64*E37</f>
        <v>100.44880000000001</v>
      </c>
      <c r="J37" s="7"/>
      <c r="K37" s="68">
        <v>1</v>
      </c>
      <c r="L37" s="81" t="s">
        <v>144</v>
      </c>
    </row>
    <row r="38" spans="1:12" ht="17" thickBot="1" x14ac:dyDescent="0.25">
      <c r="A38" s="18"/>
      <c r="B38" s="82"/>
      <c r="C38" s="18"/>
      <c r="D38" s="83"/>
      <c r="E38" s="84"/>
      <c r="F38" s="85"/>
      <c r="G38" s="86">
        <f>SUM(G2:G37)</f>
        <v>47829.73320000001</v>
      </c>
      <c r="H38" s="86">
        <f>SUM(H16:H37)</f>
        <v>590</v>
      </c>
      <c r="I38" s="87">
        <f>SUM(I19:I21)</f>
        <v>237.55</v>
      </c>
      <c r="J38" s="18"/>
      <c r="K38" s="88"/>
      <c r="L38" s="18"/>
    </row>
    <row r="39" spans="1:12" ht="17" thickTop="1" x14ac:dyDescent="0.2"/>
    <row r="45" spans="1:12" x14ac:dyDescent="0.2">
      <c r="I45" s="2" t="e" cm="1">
        <f t="array" ref="I45">5*tr</f>
        <v>#NAME?</v>
      </c>
    </row>
    <row r="60" spans="3:3" x14ac:dyDescent="0.2">
      <c r="C60" s="2">
        <f>2*3</f>
        <v>6</v>
      </c>
    </row>
  </sheetData>
  <mergeCells count="1">
    <mergeCell ref="A15:L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tabSelected="1" topLeftCell="A4" workbookViewId="0">
      <selection activeCell="H14" sqref="H14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20th of February to 26th of  March  UGLY DUMPLING  TEAM</v>
      </c>
    </row>
    <row r="3" spans="1:9" x14ac:dyDescent="0.2">
      <c r="A3" s="135" t="s">
        <v>6</v>
      </c>
      <c r="B3" s="135"/>
      <c r="C3" s="135"/>
      <c r="D3" s="135"/>
      <c r="E3" s="135"/>
      <c r="F3" s="135"/>
      <c r="G3" s="135"/>
    </row>
    <row r="4" spans="1:9" ht="24" x14ac:dyDescent="0.3">
      <c r="A4" s="136"/>
      <c r="B4" s="136"/>
      <c r="C4" s="136"/>
      <c r="D4" s="136"/>
      <c r="E4" s="136"/>
      <c r="F4" s="136"/>
      <c r="G4" s="136"/>
    </row>
    <row r="5" spans="1:9" x14ac:dyDescent="0.2">
      <c r="A5" s="78" t="s">
        <v>1</v>
      </c>
      <c r="B5" s="78" t="s">
        <v>2</v>
      </c>
      <c r="C5" s="78" t="s">
        <v>3</v>
      </c>
      <c r="D5" s="78" t="s">
        <v>4</v>
      </c>
      <c r="E5" s="78" t="s">
        <v>5</v>
      </c>
      <c r="F5" s="78" t="s">
        <v>7</v>
      </c>
      <c r="G5" s="78" t="s">
        <v>87</v>
      </c>
    </row>
    <row r="6" spans="1:9" x14ac:dyDescent="0.2">
      <c r="A6" s="22" t="s">
        <v>82</v>
      </c>
      <c r="B6" s="11"/>
      <c r="C6" s="11"/>
      <c r="D6" s="75">
        <v>10.42</v>
      </c>
      <c r="E6" s="20">
        <f>16*8</f>
        <v>128</v>
      </c>
      <c r="F6" s="76">
        <f>+D6*E6</f>
        <v>1333.76</v>
      </c>
      <c r="G6" s="128"/>
    </row>
    <row r="7" spans="1:9" x14ac:dyDescent="0.2">
      <c r="A7" s="22" t="s">
        <v>26</v>
      </c>
      <c r="B7" s="11"/>
      <c r="C7" s="11"/>
      <c r="D7" s="75">
        <v>11</v>
      </c>
      <c r="E7" s="20">
        <f>8*8</f>
        <v>64</v>
      </c>
      <c r="F7" s="76">
        <f t="shared" ref="F7:F10" si="0">+D7*E7</f>
        <v>704</v>
      </c>
      <c r="G7" s="128"/>
    </row>
    <row r="8" spans="1:9" x14ac:dyDescent="0.2">
      <c r="A8" s="22" t="s">
        <v>145</v>
      </c>
      <c r="B8" s="11"/>
      <c r="C8" s="11"/>
      <c r="D8" s="75">
        <v>10.42</v>
      </c>
      <c r="E8" s="20">
        <f>20*8</f>
        <v>160</v>
      </c>
      <c r="F8" s="76">
        <f t="shared" si="0"/>
        <v>1667.2</v>
      </c>
      <c r="G8" s="128"/>
    </row>
    <row r="9" spans="1:9" x14ac:dyDescent="0.2">
      <c r="A9" s="22" t="s">
        <v>126</v>
      </c>
      <c r="B9" s="11"/>
      <c r="C9" s="11"/>
      <c r="D9" s="75">
        <v>10.42</v>
      </c>
      <c r="E9" s="20">
        <f>5*8</f>
        <v>40</v>
      </c>
      <c r="F9" s="76">
        <f t="shared" si="0"/>
        <v>416.8</v>
      </c>
      <c r="G9" s="128"/>
    </row>
    <row r="10" spans="1:9" x14ac:dyDescent="0.2">
      <c r="A10" s="22" t="s">
        <v>33</v>
      </c>
      <c r="B10" s="11"/>
      <c r="C10" s="11"/>
      <c r="D10" s="75">
        <v>10</v>
      </c>
      <c r="E10" s="20">
        <f>15*8</f>
        <v>120</v>
      </c>
      <c r="F10" s="76">
        <f t="shared" si="0"/>
        <v>1200</v>
      </c>
      <c r="G10" s="128"/>
    </row>
    <row r="11" spans="1:9" x14ac:dyDescent="0.2">
      <c r="A11" s="22"/>
      <c r="B11" s="11"/>
      <c r="C11" s="11"/>
      <c r="D11" s="75"/>
      <c r="E11" s="20"/>
      <c r="F11" s="76"/>
      <c r="G11" s="11"/>
    </row>
    <row r="12" spans="1:9" ht="17" thickBot="1" x14ac:dyDescent="0.25">
      <c r="A12" s="5" t="s">
        <v>7</v>
      </c>
      <c r="B12" s="6"/>
      <c r="C12" s="6"/>
      <c r="D12" s="6"/>
      <c r="E12" s="6"/>
      <c r="F12" s="129">
        <f>+SUM(F6:F11)</f>
        <v>5321.76</v>
      </c>
      <c r="G12" s="77">
        <f>G6+G7+G8</f>
        <v>0</v>
      </c>
    </row>
    <row r="13" spans="1:9" ht="17" thickTop="1" x14ac:dyDescent="0.2">
      <c r="A13" s="14"/>
      <c r="B13" s="12"/>
      <c r="C13" s="12"/>
      <c r="D13" s="12"/>
      <c r="E13" s="12"/>
      <c r="F13" s="15"/>
      <c r="G13" s="3"/>
    </row>
    <row r="14" spans="1:9" x14ac:dyDescent="0.2">
      <c r="A14" s="135"/>
      <c r="B14" s="135"/>
      <c r="C14" s="135"/>
      <c r="D14" s="135"/>
      <c r="E14" s="135"/>
      <c r="F14" s="135"/>
      <c r="G14" s="135"/>
      <c r="H14" s="4"/>
      <c r="I14" s="3"/>
    </row>
  </sheetData>
  <mergeCells count="3">
    <mergeCell ref="A14:G14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A12" sqref="A12:XFD13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20th of February to 26th of  March  UGLY DUMPLING  TEAM</v>
      </c>
    </row>
    <row r="2" spans="1:12" x14ac:dyDescent="0.2">
      <c r="A2" s="25" t="s">
        <v>14</v>
      </c>
      <c r="B2" s="25"/>
    </row>
    <row r="4" spans="1:12" x14ac:dyDescent="0.2">
      <c r="A4" s="36"/>
      <c r="B4" s="37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x14ac:dyDescent="0.2">
      <c r="A5" s="36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2">
      <c r="A6" s="36"/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2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2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2">
      <c r="A9" s="36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2">
      <c r="A10" s="3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2" customFormat="1" ht="20" customHeight="1" x14ac:dyDescent="0.25">
      <c r="A11" s="40"/>
      <c r="B11" s="54" t="s">
        <v>94</v>
      </c>
      <c r="C11" s="54" t="s">
        <v>85</v>
      </c>
      <c r="D11" s="54"/>
      <c r="E11" s="54" t="s">
        <v>114</v>
      </c>
      <c r="F11" s="54" t="s">
        <v>21</v>
      </c>
      <c r="G11" s="54" t="s">
        <v>22</v>
      </c>
      <c r="H11" s="54" t="s">
        <v>89</v>
      </c>
      <c r="I11" s="54" t="s">
        <v>32</v>
      </c>
      <c r="J11" s="54" t="s">
        <v>45</v>
      </c>
      <c r="K11" s="54" t="s">
        <v>84</v>
      </c>
      <c r="L11" s="41"/>
    </row>
    <row r="12" spans="1:12" x14ac:dyDescent="0.2">
      <c r="A12" s="43"/>
      <c r="B12" s="61"/>
      <c r="C12" s="44"/>
      <c r="D12" s="44"/>
      <c r="E12" s="53"/>
      <c r="F12" s="45"/>
      <c r="G12" s="46"/>
      <c r="H12" s="47"/>
      <c r="I12" s="28"/>
      <c r="J12" s="28"/>
      <c r="K12" s="28"/>
      <c r="L12" s="48"/>
    </row>
    <row r="13" spans="1:12" x14ac:dyDescent="0.2">
      <c r="A13" s="43"/>
      <c r="B13" s="63"/>
      <c r="C13" s="31"/>
      <c r="D13" s="31"/>
      <c r="E13" s="35"/>
      <c r="F13" s="34"/>
      <c r="G13" s="32"/>
      <c r="H13" s="33"/>
      <c r="I13" s="29"/>
      <c r="J13" s="29"/>
      <c r="K13" s="29"/>
      <c r="L13" s="48"/>
    </row>
    <row r="14" spans="1:12" x14ac:dyDescent="0.2">
      <c r="A14" s="43"/>
      <c r="B14" s="61"/>
      <c r="C14" s="44"/>
      <c r="D14" s="44"/>
      <c r="E14" s="50"/>
      <c r="F14" s="49"/>
      <c r="G14" s="46"/>
      <c r="H14" s="47"/>
      <c r="I14" s="28"/>
      <c r="J14" s="28"/>
      <c r="K14" s="28"/>
      <c r="L14" s="48"/>
    </row>
    <row r="15" spans="1:12" x14ac:dyDescent="0.2">
      <c r="A15" s="43"/>
      <c r="B15" s="63"/>
      <c r="C15" s="31"/>
      <c r="D15" s="31"/>
      <c r="E15" s="35"/>
      <c r="F15" s="34"/>
      <c r="G15" s="32"/>
      <c r="H15" s="33"/>
      <c r="I15" s="29"/>
      <c r="J15" s="29"/>
      <c r="K15" s="29"/>
      <c r="L15" s="48"/>
    </row>
    <row r="16" spans="1:12" x14ac:dyDescent="0.2">
      <c r="A16" s="43"/>
      <c r="B16" s="61"/>
      <c r="D16" s="44"/>
      <c r="E16" s="47"/>
      <c r="F16" s="57"/>
      <c r="G16" s="46"/>
      <c r="H16" s="47"/>
      <c r="I16" s="28"/>
      <c r="J16" s="28"/>
      <c r="K16" s="28"/>
      <c r="L16" s="48"/>
    </row>
    <row r="17" spans="1:12" x14ac:dyDescent="0.2">
      <c r="A17" s="36"/>
      <c r="B17" s="63"/>
      <c r="C17" s="31"/>
      <c r="D17" s="31"/>
      <c r="E17" s="35"/>
      <c r="F17" s="34"/>
      <c r="G17" s="32"/>
      <c r="H17" s="33"/>
      <c r="I17" s="29"/>
      <c r="J17" s="29"/>
      <c r="K17" s="29"/>
      <c r="L17" s="48"/>
    </row>
    <row r="18" spans="1:12" x14ac:dyDescent="0.2">
      <c r="A18" s="38"/>
      <c r="B18" s="61"/>
      <c r="C18" s="44"/>
      <c r="D18" s="52"/>
      <c r="E18" s="53"/>
      <c r="F18" s="45"/>
      <c r="G18" s="46"/>
      <c r="H18" s="47"/>
      <c r="I18" s="28"/>
      <c r="J18" s="60"/>
      <c r="K18" s="28"/>
      <c r="L18" s="48"/>
    </row>
    <row r="19" spans="1:12" x14ac:dyDescent="0.2">
      <c r="A19" s="36"/>
      <c r="B19" s="63"/>
      <c r="C19" s="31"/>
      <c r="D19" s="31"/>
      <c r="E19" s="35"/>
      <c r="F19" s="34"/>
      <c r="G19" s="32"/>
      <c r="H19" s="29"/>
      <c r="I19" s="29"/>
      <c r="J19" s="29"/>
      <c r="K19" s="29"/>
      <c r="L19" s="48"/>
    </row>
    <row r="20" spans="1:12" x14ac:dyDescent="0.2">
      <c r="A20" s="36"/>
      <c r="B20" s="61"/>
      <c r="C20" s="44"/>
      <c r="D20" s="44"/>
      <c r="E20" s="50"/>
      <c r="F20" s="49"/>
      <c r="G20" s="46"/>
      <c r="H20" s="28"/>
      <c r="I20" s="28"/>
      <c r="J20" s="28"/>
      <c r="K20" s="28"/>
      <c r="L20" s="48"/>
    </row>
    <row r="21" spans="1:12" x14ac:dyDescent="0.2">
      <c r="A21" s="38"/>
      <c r="B21" s="63"/>
      <c r="C21" s="31"/>
      <c r="D21" s="31"/>
      <c r="E21" s="35"/>
      <c r="F21" s="34"/>
      <c r="G21" s="1"/>
      <c r="H21" s="29"/>
      <c r="I21" s="29"/>
      <c r="J21" s="29"/>
      <c r="K21" s="29"/>
      <c r="L21" s="28"/>
    </row>
    <row r="22" spans="1:12" x14ac:dyDescent="0.2">
      <c r="A22" s="38"/>
      <c r="B22" s="61"/>
      <c r="C22" s="38"/>
      <c r="D22" s="38"/>
      <c r="E22" s="58"/>
      <c r="F22" s="59"/>
      <c r="H22" s="38"/>
      <c r="I22" s="38"/>
      <c r="J22" s="38"/>
      <c r="K22" s="38"/>
      <c r="L22" s="38"/>
    </row>
    <row r="23" spans="1:12" x14ac:dyDescent="0.2">
      <c r="B23" s="64"/>
      <c r="C23" s="16"/>
      <c r="D23" s="16"/>
      <c r="E23" s="65"/>
      <c r="F23" s="65"/>
      <c r="G23" s="16"/>
      <c r="H23" s="16"/>
      <c r="I23" s="16"/>
      <c r="J23" s="16"/>
      <c r="K23" s="16"/>
    </row>
    <row r="24" spans="1:12" x14ac:dyDescent="0.2">
      <c r="B24" s="62"/>
      <c r="E24" s="51"/>
      <c r="F24" s="57"/>
    </row>
    <row r="25" spans="1:12" x14ac:dyDescent="0.2">
      <c r="B25" s="64"/>
      <c r="C25" s="16"/>
      <c r="D25" s="16"/>
      <c r="E25" s="65"/>
      <c r="F25" s="65"/>
      <c r="G25" s="16"/>
      <c r="H25" s="16"/>
      <c r="I25" s="16"/>
      <c r="J25" s="16"/>
      <c r="K25" s="16"/>
    </row>
    <row r="26" spans="1:12" x14ac:dyDescent="0.2">
      <c r="B26" s="62"/>
      <c r="E26" s="57"/>
      <c r="F26" s="5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3" workbookViewId="0">
      <selection activeCell="C9" sqref="C9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68</v>
      </c>
      <c r="D6" s="2" t="s">
        <v>60</v>
      </c>
      <c r="E6" s="2" t="s">
        <v>69</v>
      </c>
      <c r="F6" s="2" t="s">
        <v>72</v>
      </c>
      <c r="G6" s="2" t="s">
        <v>70</v>
      </c>
      <c r="I6" s="2" t="s">
        <v>71</v>
      </c>
      <c r="J6" s="2" t="s">
        <v>63</v>
      </c>
      <c r="K6" s="2" t="s">
        <v>86</v>
      </c>
      <c r="L6" s="2" t="s">
        <v>75</v>
      </c>
    </row>
    <row r="7" spans="1:12" x14ac:dyDescent="0.2">
      <c r="B7" s="2" t="s">
        <v>58</v>
      </c>
      <c r="C7" s="2">
        <v>219.2</v>
      </c>
      <c r="D7" s="2">
        <f>90*70</f>
        <v>6300</v>
      </c>
      <c r="E7" s="2">
        <v>15693</v>
      </c>
      <c r="F7" s="2">
        <f>E7-D7</f>
        <v>9393</v>
      </c>
      <c r="G7" s="2">
        <f>C7-B16</f>
        <v>119.19999999999999</v>
      </c>
      <c r="H7" s="2">
        <f>G7*$B$14</f>
        <v>8940</v>
      </c>
      <c r="I7" s="2">
        <f>F7-H7</f>
        <v>453</v>
      </c>
      <c r="J7" s="26">
        <f>I7*$B$13</f>
        <v>22.650000000000002</v>
      </c>
      <c r="K7" s="55">
        <f>J7/G7</f>
        <v>0.19001677852348997</v>
      </c>
      <c r="L7" s="30">
        <f>C7-B16</f>
        <v>119.19999999999999</v>
      </c>
    </row>
    <row r="8" spans="1:12" ht="17" customHeight="1" x14ac:dyDescent="0.2">
      <c r="B8" s="2" t="s">
        <v>59</v>
      </c>
      <c r="C8" s="2">
        <v>130.84</v>
      </c>
      <c r="D8" s="2">
        <f>$B$15*B17</f>
        <v>3600</v>
      </c>
      <c r="E8" s="2">
        <v>15164</v>
      </c>
      <c r="F8" s="2">
        <f t="shared" ref="F8:F11" si="0">E8-D8</f>
        <v>11564</v>
      </c>
      <c r="G8" s="2">
        <f t="shared" ref="G8:G11" si="1">C8-B17</f>
        <v>90.84</v>
      </c>
      <c r="H8" s="2">
        <f t="shared" ref="H8:H10" si="2">G8*$B$14</f>
        <v>6813</v>
      </c>
      <c r="I8" s="2">
        <f t="shared" ref="I8:I11" si="3">F8-H8</f>
        <v>4751</v>
      </c>
      <c r="J8" s="26">
        <f t="shared" ref="J8:J10" si="4">I8*$B$13</f>
        <v>237.55</v>
      </c>
      <c r="K8" s="56">
        <f>J8/G8</f>
        <v>2.6150374284456186</v>
      </c>
      <c r="L8" s="30">
        <f>C8-B17</f>
        <v>90.84</v>
      </c>
    </row>
    <row r="9" spans="1:12" ht="17" customHeight="1" x14ac:dyDescent="0.2">
      <c r="B9" s="2" t="s">
        <v>129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6">
        <f t="shared" si="4"/>
        <v>98.3125</v>
      </c>
      <c r="K9" s="56"/>
      <c r="L9" s="30"/>
    </row>
    <row r="10" spans="1:12" ht="17" customHeight="1" x14ac:dyDescent="0.2">
      <c r="B10" s="2" t="s">
        <v>82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6">
        <f t="shared" si="4"/>
        <v>44.0625</v>
      </c>
      <c r="K10" s="56"/>
      <c r="L10" s="30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27" t="s">
        <v>64</v>
      </c>
    </row>
    <row r="13" spans="1:12" x14ac:dyDescent="0.2">
      <c r="A13" s="2" t="s">
        <v>65</v>
      </c>
      <c r="B13" s="2">
        <v>0.05</v>
      </c>
    </row>
    <row r="14" spans="1:12" x14ac:dyDescent="0.2">
      <c r="A14" s="2" t="s">
        <v>66</v>
      </c>
      <c r="B14" s="2">
        <v>75</v>
      </c>
    </row>
    <row r="15" spans="1:12" x14ac:dyDescent="0.2">
      <c r="A15" s="2" t="s">
        <v>67</v>
      </c>
      <c r="B15" s="2">
        <v>90</v>
      </c>
    </row>
    <row r="16" spans="1:12" x14ac:dyDescent="0.2">
      <c r="A16" s="25" t="s">
        <v>62</v>
      </c>
      <c r="B16" s="2">
        <v>100</v>
      </c>
      <c r="C16" s="2" t="s">
        <v>115</v>
      </c>
    </row>
    <row r="17" spans="1:7" x14ac:dyDescent="0.2">
      <c r="A17" s="25" t="s">
        <v>61</v>
      </c>
      <c r="B17" s="2">
        <v>40</v>
      </c>
    </row>
    <row r="18" spans="1:7" x14ac:dyDescent="0.2">
      <c r="A18" s="25" t="s">
        <v>128</v>
      </c>
      <c r="B18" s="2">
        <v>0</v>
      </c>
    </row>
    <row r="19" spans="1:7" x14ac:dyDescent="0.2">
      <c r="A19" s="2" t="s">
        <v>82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2023-03-27T12:27:50Z</dcterms:modified>
</cp:coreProperties>
</file>