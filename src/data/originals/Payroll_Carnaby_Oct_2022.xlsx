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"/>
    </mc:Choice>
  </mc:AlternateContent>
  <xr:revisionPtr revIDLastSave="0" documentId="13_ncr:1_{9021A213-A8C3-524A-AA87-18996CC08AD0}" xr6:coauthVersionLast="47" xr6:coauthVersionMax="47" xr10:uidLastSave="{00000000-0000-0000-0000-000000000000}"/>
  <bookViews>
    <workbookView xWindow="0" yWindow="500" windowWidth="28800" windowHeight="16440" tabRatio="500" activeTab="1" xr2:uid="{00000000-000D-0000-FFFF-FFFF00000000}"/>
  </bookViews>
  <sheets>
    <sheet name="FOH &amp; BOH" sheetId="1" r:id="rId1"/>
    <sheet name="SUMMARY" sheetId="3" r:id="rId2"/>
    <sheet name="HOLIDAYS AND NOTES" sheetId="2" r:id="rId3"/>
    <sheet name="STARTERS DETAILS " sheetId="4" r:id="rId4"/>
    <sheet name="Dumpling Bonus " sheetId="6" r:id="rId5"/>
  </sheets>
  <definedNames>
    <definedName name="_xlnm.Print_Area" localSheetId="0">'FOH &amp; BOH'!$A$5:$G$5</definedName>
    <definedName name="_xlnm.Print_Area" localSheetId="2">'HOLIDAYS AND NOTES'!$A$4:$F$12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8" i="1" l="1"/>
  <c r="I27" i="1"/>
  <c r="F8" i="2"/>
  <c r="E8" i="2"/>
  <c r="F7" i="2"/>
  <c r="E7" i="2"/>
  <c r="E6" i="2"/>
  <c r="G46" i="1"/>
  <c r="F35" i="1"/>
  <c r="F22" i="1"/>
  <c r="F27" i="1"/>
  <c r="F28" i="1"/>
  <c r="D8" i="6"/>
  <c r="G21" i="1"/>
  <c r="G20" i="1"/>
  <c r="F31" i="1"/>
  <c r="F47" i="1" l="1"/>
  <c r="E47" i="1"/>
  <c r="G39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2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0" i="1"/>
  <c r="G41" i="1"/>
  <c r="G42" i="1"/>
  <c r="G43" i="1"/>
  <c r="G44" i="1"/>
  <c r="G45" i="1"/>
  <c r="G6" i="1"/>
  <c r="D7" i="6"/>
  <c r="H47" i="1"/>
  <c r="C15" i="3" s="1"/>
  <c r="G47" i="1" l="1"/>
  <c r="C14" i="3" s="1"/>
  <c r="L7" i="6" l="1"/>
  <c r="F6" i="2"/>
  <c r="F7" i="6" l="1"/>
  <c r="A1" i="1" l="1"/>
  <c r="G7" i="6"/>
  <c r="H7" i="6" s="1"/>
  <c r="I7" i="6" s="1"/>
  <c r="L8" i="6" l="1"/>
  <c r="G8" i="6" l="1"/>
  <c r="H8" i="6" s="1"/>
  <c r="F8" i="6"/>
  <c r="I8" i="6" l="1"/>
  <c r="J8" i="6" s="1"/>
  <c r="J7" i="6"/>
  <c r="I47" i="1" l="1"/>
  <c r="C16" i="3" s="1"/>
  <c r="K8" i="6"/>
  <c r="K7" i="6" l="1"/>
  <c r="F10" i="2"/>
  <c r="C17" i="3" s="1"/>
  <c r="B1" i="4"/>
  <c r="C1" i="2"/>
  <c r="C18" i="3" l="1"/>
</calcChain>
</file>

<file path=xl/sharedStrings.xml><?xml version="1.0" encoding="utf-8"?>
<sst xmlns="http://schemas.openxmlformats.org/spreadsheetml/2006/main" count="255" uniqueCount="173">
  <si>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</si>
  <si>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</si>
  <si>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</si>
  <si>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</si>
  <si>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</si>
  <si>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</si>
  <si>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</si>
  <si>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</si>
  <si>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</si>
  <si>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</si>
  <si>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</si>
  <si>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</si>
  <si>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</si>
  <si>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</si>
  <si>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</si>
  <si>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>Waitress</t>
  </si>
  <si>
    <t xml:space="preserve">Kitchen Manager </t>
  </si>
  <si>
    <t>HOLIDAYS TOTAL</t>
  </si>
  <si>
    <t xml:space="preserve">DUMPLING BONUS </t>
  </si>
  <si>
    <t xml:space="preserve">TOTAL </t>
  </si>
  <si>
    <t xml:space="preserve">TOTAL PAYROLL </t>
  </si>
  <si>
    <t xml:space="preserve">Prod. Team </t>
  </si>
  <si>
    <t>Sort Code</t>
  </si>
  <si>
    <t xml:space="preserve">Nationality </t>
  </si>
  <si>
    <t xml:space="preserve">Jean Carlos </t>
  </si>
  <si>
    <t>Garcia Gonzalez</t>
  </si>
  <si>
    <t>Melanny Salome</t>
  </si>
  <si>
    <t>Folleco Chala</t>
  </si>
  <si>
    <t>Cham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</si>
  <si>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</si>
  <si>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</si>
  <si>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</si>
  <si>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</si>
  <si>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</si>
  <si>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</si>
  <si>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</si>
  <si>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</si>
  <si>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</si>
  <si>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</si>
  <si>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</si>
  <si>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Tamar</t>
  </si>
  <si>
    <t>Molina Rios</t>
  </si>
  <si>
    <t>Sergio</t>
  </si>
  <si>
    <t>Ferrerosa</t>
  </si>
  <si>
    <t>Naomi Jhuliana</t>
  </si>
  <si>
    <t>Vallejos</t>
  </si>
  <si>
    <t xml:space="preserve">Junior chef </t>
  </si>
  <si>
    <t>Heidy</t>
  </si>
  <si>
    <t xml:space="preserve"> Share Code</t>
  </si>
  <si>
    <t xml:space="preserve">Leonor </t>
  </si>
  <si>
    <t xml:space="preserve">Ferreira </t>
  </si>
  <si>
    <t>Wai Pink (Jess)</t>
  </si>
  <si>
    <t>Pay Comp. Description</t>
  </si>
  <si>
    <t>Pay</t>
  </si>
  <si>
    <t>Bonus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</si>
  <si>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</si>
  <si>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</si>
  <si>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</si>
  <si>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</si>
  <si>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</si>
  <si>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</si>
  <si>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</si>
  <si>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</si>
  <si>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</si>
  <si>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</si>
  <si>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</si>
  <si>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</si>
  <si>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</si>
  <si>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</si>
  <si>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</si>
  <si>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</si>
  <si>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</si>
  <si>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</si>
  <si>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</si>
  <si>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</si>
  <si>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</si>
  <si>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</si>
  <si>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Karina </t>
  </si>
  <si>
    <t xml:space="preserve">Kavdanska </t>
  </si>
  <si>
    <t xml:space="preserve">Kitty </t>
  </si>
  <si>
    <t xml:space="preserve">Oil Lan </t>
  </si>
  <si>
    <t xml:space="preserve">hours after bonus </t>
  </si>
  <si>
    <t xml:space="preserve">David Daniel </t>
  </si>
  <si>
    <t xml:space="preserve">Molina Rios </t>
  </si>
  <si>
    <t>Rebecca</t>
  </si>
  <si>
    <t>Archibold</t>
  </si>
  <si>
    <t xml:space="preserve">Agata </t>
  </si>
  <si>
    <t xml:space="preserve">Drobinska </t>
  </si>
  <si>
    <t xml:space="preserve">Manapalli </t>
  </si>
  <si>
    <t xml:space="preserve">Saicharan </t>
  </si>
  <si>
    <t xml:space="preserve">Ling </t>
  </si>
  <si>
    <t>Chak</t>
  </si>
  <si>
    <t>Resid. Card</t>
  </si>
  <si>
    <t>NINo</t>
  </si>
  <si>
    <t>Loh Kai Xuan Tabi</t>
  </si>
  <si>
    <t xml:space="preserve">bonus per hour </t>
  </si>
  <si>
    <t xml:space="preserve">STATUS </t>
  </si>
  <si>
    <t xml:space="preserve">Ass. Manager </t>
  </si>
  <si>
    <t xml:space="preserve">Shania </t>
  </si>
  <si>
    <t>Malcolm</t>
  </si>
  <si>
    <t>Passaport nb</t>
  </si>
  <si>
    <t xml:space="preserve">Chala Quilumba </t>
  </si>
  <si>
    <t xml:space="preserve">Matos </t>
  </si>
  <si>
    <t xml:space="preserve">Olga </t>
  </si>
  <si>
    <t xml:space="preserve">Anny Belkys </t>
  </si>
  <si>
    <t xml:space="preserve">Jc Marinel </t>
  </si>
  <si>
    <t xml:space="preserve">Navea </t>
  </si>
  <si>
    <t xml:space="preserve">New Startes </t>
  </si>
  <si>
    <t xml:space="preserve">Starter </t>
  </si>
  <si>
    <t xml:space="preserve">Ramos </t>
  </si>
  <si>
    <t>Hafiz Abdur</t>
  </si>
  <si>
    <t xml:space="preserve">Rahim </t>
  </si>
  <si>
    <t xml:space="preserve">Mei Lin </t>
  </si>
  <si>
    <t xml:space="preserve">Khong </t>
  </si>
  <si>
    <t xml:space="preserve">Setareh </t>
  </si>
  <si>
    <t xml:space="preserve">Saeedfar </t>
  </si>
  <si>
    <t xml:space="preserve">Manager </t>
  </si>
  <si>
    <t xml:space="preserve">Endea </t>
  </si>
  <si>
    <t xml:space="preserve">Stractchan </t>
  </si>
  <si>
    <t xml:space="preserve">Benjamin </t>
  </si>
  <si>
    <t xml:space="preserve">Gray </t>
  </si>
  <si>
    <t xml:space="preserve">Peace </t>
  </si>
  <si>
    <t>Imwensi</t>
  </si>
  <si>
    <t xml:space="preserve">Hubert </t>
  </si>
  <si>
    <t xml:space="preserve">Siotor </t>
  </si>
  <si>
    <t>FOH&amp;BOH</t>
  </si>
  <si>
    <t>Reyquane</t>
  </si>
  <si>
    <t>Kendell</t>
  </si>
  <si>
    <t xml:space="preserve">Adriana </t>
  </si>
  <si>
    <t xml:space="preserve">Baca </t>
  </si>
  <si>
    <t xml:space="preserve">Glenn </t>
  </si>
  <si>
    <t>Taniegra</t>
  </si>
  <si>
    <t>Starter</t>
  </si>
  <si>
    <t>pay rise £9</t>
  </si>
  <si>
    <t xml:space="preserve">INCENTIVES </t>
  </si>
  <si>
    <t xml:space="preserve">Salome </t>
  </si>
  <si>
    <t>Kitchen Ass. manager</t>
  </si>
  <si>
    <t xml:space="preserve">Month sick pay </t>
  </si>
  <si>
    <t xml:space="preserve">Durba </t>
  </si>
  <si>
    <t xml:space="preserve">Chandan </t>
  </si>
  <si>
    <t xml:space="preserve">Andrei </t>
  </si>
  <si>
    <t xml:space="preserve">Tiganus </t>
  </si>
  <si>
    <t>Waiter</t>
  </si>
  <si>
    <t xml:space="preserve">Andrei Tiganus </t>
  </si>
  <si>
    <t>SX245757B</t>
  </si>
  <si>
    <t>Bank Account N</t>
  </si>
  <si>
    <t>89327539</t>
  </si>
  <si>
    <t>04.00.04</t>
  </si>
  <si>
    <t>TL615775D</t>
  </si>
  <si>
    <t>28900363</t>
  </si>
  <si>
    <t>30.94.87</t>
  </si>
  <si>
    <t xml:space="preserve">Durba Chandan </t>
  </si>
  <si>
    <t xml:space="preserve">Arun Kumar Thota </t>
  </si>
  <si>
    <t>NA</t>
  </si>
  <si>
    <t>hours</t>
  </si>
  <si>
    <t>Arun</t>
  </si>
  <si>
    <t xml:space="preserve">Kumar Thota </t>
  </si>
  <si>
    <t>pay rise £10</t>
  </si>
  <si>
    <t xml:space="preserve">Leaver </t>
  </si>
  <si>
    <t>Pay rise £11</t>
  </si>
  <si>
    <t>pay rise to £11</t>
  </si>
  <si>
    <t xml:space="preserve">Starer </t>
  </si>
  <si>
    <t xml:space="preserve">Holiday </t>
  </si>
  <si>
    <t>pay rise £8.5</t>
  </si>
  <si>
    <t>Kitchen Ass. Manager (training)</t>
  </si>
  <si>
    <t>22214272</t>
  </si>
  <si>
    <t>RW3263394</t>
  </si>
  <si>
    <t xml:space="preserve">Indian </t>
  </si>
  <si>
    <t>pay rise to £10</t>
  </si>
  <si>
    <t xml:space="preserve">Jhuli </t>
  </si>
  <si>
    <t xml:space="preserve">Jess </t>
  </si>
  <si>
    <t xml:space="preserve">1 week Sick pay </t>
  </si>
  <si>
    <t>PAYROLL 26rd Sept- 23UGLY DUMPLING 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</si>
</sst>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_);[Red]\(&quot;£&quot;#,##0\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b/>
      <sz val="12"/>
      <color rgb="FF000000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b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sz val="8"/>
      <name val="Calibri"/>
      <family val="2"/>
      <scheme val="minor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0"/>
      <color rgb="FF000000"/>
      <name val="Calibri Light"/>
      <family val="2"/>
    </font>
    <font>
      <sz val="10"/>
      <color theme="1"/>
      <name val="Calibri"/>
      <family val="2"/>
    </font>
    <font>
      <b/>
      <sz val="10"/>
      <color theme="4" tint="0.79998168889431442"/>
      <name val="Calibri Light"/>
      <family val="2"/>
      <scheme val="major"/>
    </font>
    <font>
      <sz val="10"/>
      <color theme="4" tint="0.79998168889431442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2" fillId="2" borderId="0" xfId="0" applyFont="1" applyFill="1"/>
    <xf numFmtId="0" fontId="9" fillId="2" borderId="0" xfId="0" applyFont="1" applyFill="1" applyBorder="1" applyAlignment="1">
      <alignment horizontal="center" vertical="center"/>
    </xf>
    <xf numFmtId="165" fontId="7" fillId="2" borderId="1" xfId="0" applyNumberFormat="1" applyFont="1" applyFill="1" applyBorder="1"/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2" fillId="2" borderId="0" xfId="0" applyNumberFormat="1" applyFont="1" applyFill="1"/>
    <xf numFmtId="0" fontId="13" fillId="2" borderId="1" xfId="0" applyFont="1" applyFill="1" applyBorder="1"/>
    <xf numFmtId="9" fontId="15" fillId="2" borderId="0" xfId="79" applyFont="1" applyFill="1"/>
    <xf numFmtId="0" fontId="11" fillId="2" borderId="0" xfId="0" applyFont="1" applyFill="1" applyBorder="1" applyAlignment="1">
      <alignment horizontal="center" vertical="center"/>
    </xf>
    <xf numFmtId="0" fontId="12" fillId="4" borderId="2" xfId="0" applyFont="1" applyFill="1" applyBorder="1"/>
    <xf numFmtId="0" fontId="11" fillId="2" borderId="0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right"/>
    </xf>
    <xf numFmtId="167" fontId="0" fillId="2" borderId="0" xfId="0" applyNumberFormat="1" applyFill="1"/>
    <xf numFmtId="9" fontId="0" fillId="2" borderId="0" xfId="79" applyFont="1" applyFill="1"/>
    <xf numFmtId="0" fontId="2" fillId="2" borderId="0" xfId="0" applyFont="1" applyFill="1"/>
    <xf numFmtId="0" fontId="2" fillId="2" borderId="0" xfId="0" applyFont="1" applyFill="1" applyBorder="1"/>
    <xf numFmtId="164" fontId="7" fillId="2" borderId="0" xfId="78" applyFont="1" applyFill="1"/>
    <xf numFmtId="0" fontId="17" fillId="2" borderId="0" xfId="0" applyFont="1" applyFill="1"/>
    <xf numFmtId="165" fontId="7" fillId="2" borderId="0" xfId="0" applyNumberFormat="1" applyFont="1" applyFill="1"/>
    <xf numFmtId="0" fontId="10" fillId="2" borderId="0" xfId="0" applyFont="1" applyFill="1"/>
    <xf numFmtId="0" fontId="18" fillId="2" borderId="0" xfId="0" applyFont="1" applyFill="1"/>
    <xf numFmtId="165" fontId="2" fillId="2" borderId="0" xfId="0" applyNumberFormat="1" applyFont="1" applyFill="1"/>
    <xf numFmtId="0" fontId="21" fillId="2" borderId="2" xfId="0" applyFont="1" applyFill="1" applyBorder="1" applyAlignment="1">
      <alignment horizontal="left" vertical="center"/>
    </xf>
    <xf numFmtId="0" fontId="24" fillId="2" borderId="0" xfId="0" applyFont="1" applyFill="1" applyBorder="1"/>
    <xf numFmtId="0" fontId="24" fillId="3" borderId="0" xfId="0" applyFont="1" applyFill="1" applyBorder="1"/>
    <xf numFmtId="0" fontId="15" fillId="2" borderId="0" xfId="0" applyFont="1" applyFill="1"/>
    <xf numFmtId="0" fontId="24" fillId="3" borderId="0" xfId="0" applyFont="1" applyFill="1" applyBorder="1" applyAlignment="1"/>
    <xf numFmtId="1" fontId="24" fillId="3" borderId="0" xfId="0" applyNumberFormat="1" applyFont="1" applyFill="1" applyBorder="1" applyAlignment="1"/>
    <xf numFmtId="0" fontId="24" fillId="3" borderId="0" xfId="0" applyFont="1" applyFill="1" applyBorder="1" applyAlignment="1">
      <alignment horizontal="left"/>
    </xf>
    <xf numFmtId="1" fontId="24" fillId="3" borderId="0" xfId="0" applyNumberFormat="1" applyFont="1" applyFill="1" applyBorder="1" applyAlignment="1">
      <alignment horizontal="left"/>
    </xf>
    <xf numFmtId="49" fontId="24" fillId="3" borderId="0" xfId="0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19" fillId="2" borderId="3" xfId="0" applyFont="1" applyFill="1" applyBorder="1"/>
    <xf numFmtId="0" fontId="20" fillId="2" borderId="0" xfId="0" applyFont="1" applyFill="1" applyBorder="1"/>
    <xf numFmtId="0" fontId="19" fillId="2" borderId="0" xfId="0" applyFont="1" applyFill="1"/>
    <xf numFmtId="0" fontId="2" fillId="2" borderId="3" xfId="0" applyFont="1" applyFill="1" applyBorder="1"/>
    <xf numFmtId="0" fontId="24" fillId="2" borderId="0" xfId="0" applyFont="1" applyFill="1" applyBorder="1" applyAlignment="1"/>
    <xf numFmtId="1" fontId="24" fillId="2" borderId="0" xfId="0" applyNumberFormat="1" applyFont="1" applyFill="1" applyAlignment="1">
      <alignment horizontal="left"/>
    </xf>
    <xf numFmtId="1" fontId="24" fillId="2" borderId="0" xfId="0" applyNumberFormat="1" applyFont="1" applyFill="1" applyBorder="1" applyAlignment="1"/>
    <xf numFmtId="0" fontId="24" fillId="2" borderId="0" xfId="0" applyFont="1" applyFill="1" applyBorder="1" applyAlignment="1">
      <alignment horizontal="left"/>
    </xf>
    <xf numFmtId="0" fontId="24" fillId="2" borderId="4" xfId="0" applyFont="1" applyFill="1" applyBorder="1"/>
    <xf numFmtId="1" fontId="24" fillId="2" borderId="0" xfId="0" applyNumberFormat="1" applyFont="1" applyFill="1" applyBorder="1" applyAlignment="1">
      <alignment horizontal="left"/>
    </xf>
    <xf numFmtId="49" fontId="24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4" fillId="2" borderId="0" xfId="0" applyFont="1" applyFill="1" applyAlignment="1"/>
    <xf numFmtId="49" fontId="24" fillId="2" borderId="0" xfId="0" applyNumberFormat="1" applyFont="1" applyFill="1" applyAlignment="1">
      <alignment horizontal="left"/>
    </xf>
    <xf numFmtId="0" fontId="20" fillId="2" borderId="2" xfId="0" applyFont="1" applyFill="1" applyBorder="1"/>
    <xf numFmtId="165" fontId="0" fillId="2" borderId="0" xfId="0" applyNumberFormat="1" applyFill="1"/>
    <xf numFmtId="165" fontId="15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4" fillId="2" borderId="0" xfId="0" applyNumberFormat="1" applyFont="1" applyFill="1" applyBorder="1"/>
    <xf numFmtId="0" fontId="26" fillId="2" borderId="0" xfId="0" applyFont="1" applyFill="1" applyBorder="1"/>
    <xf numFmtId="0" fontId="26" fillId="2" borderId="0" xfId="0" applyFont="1" applyFill="1"/>
    <xf numFmtId="0" fontId="26" fillId="3" borderId="0" xfId="0" applyFont="1" applyFill="1" applyBorder="1"/>
    <xf numFmtId="0" fontId="26" fillId="3" borderId="0" xfId="0" applyFont="1" applyFill="1"/>
    <xf numFmtId="0" fontId="0" fillId="3" borderId="0" xfId="0" applyFill="1" applyAlignment="1">
      <alignment horizontal="left"/>
    </xf>
    <xf numFmtId="0" fontId="11" fillId="4" borderId="0" xfId="0" applyFont="1" applyFill="1"/>
    <xf numFmtId="165" fontId="11" fillId="4" borderId="0" xfId="0" applyNumberFormat="1" applyFont="1" applyFill="1"/>
    <xf numFmtId="164" fontId="6" fillId="4" borderId="0" xfId="78" applyFont="1" applyFill="1"/>
    <xf numFmtId="0" fontId="11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23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0" fontId="6" fillId="4" borderId="0" xfId="78" applyNumberFormat="1" applyFont="1" applyFill="1" applyBorder="1" applyAlignment="1">
      <alignment horizontal="right" vertical="center"/>
    </xf>
    <xf numFmtId="164" fontId="6" fillId="4" borderId="0" xfId="78" applyFont="1" applyFill="1" applyAlignment="1">
      <alignment horizontal="right" vertical="center"/>
    </xf>
    <xf numFmtId="164" fontId="6" fillId="4" borderId="0" xfId="78" applyFont="1" applyFill="1" applyBorder="1" applyAlignment="1">
      <alignment horizontal="right" vertical="center"/>
    </xf>
    <xf numFmtId="0" fontId="12" fillId="4" borderId="0" xfId="0" applyFont="1" applyFill="1"/>
    <xf numFmtId="0" fontId="12" fillId="4" borderId="0" xfId="0" applyFont="1" applyFill="1" applyBorder="1"/>
    <xf numFmtId="164" fontId="12" fillId="4" borderId="0" xfId="78" applyFont="1" applyFill="1"/>
    <xf numFmtId="165" fontId="12" fillId="4" borderId="0" xfId="0" applyNumberFormat="1" applyFont="1" applyFill="1"/>
    <xf numFmtId="165" fontId="11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center" vertical="center"/>
    </xf>
    <xf numFmtId="165" fontId="11" fillId="3" borderId="0" xfId="78" applyNumberFormat="1" applyFont="1" applyFill="1" applyBorder="1" applyAlignment="1">
      <alignment vertical="center"/>
    </xf>
    <xf numFmtId="0" fontId="11" fillId="3" borderId="0" xfId="0" applyFont="1" applyFill="1" applyBorder="1" applyAlignment="1">
      <alignment horizontal="center" vertical="center"/>
    </xf>
    <xf numFmtId="164" fontId="9" fillId="3" borderId="0" xfId="78" applyFont="1" applyFill="1" applyBorder="1" applyAlignment="1">
      <alignment horizontal="center" vertical="center"/>
    </xf>
    <xf numFmtId="167" fontId="13" fillId="5" borderId="1" xfId="0" applyNumberFormat="1" applyFont="1" applyFill="1" applyBorder="1"/>
    <xf numFmtId="0" fontId="27" fillId="4" borderId="0" xfId="0" applyFont="1" applyFill="1"/>
    <xf numFmtId="0" fontId="7" fillId="4" borderId="0" xfId="0" applyFont="1" applyFill="1"/>
    <xf numFmtId="0" fontId="2" fillId="2" borderId="1" xfId="0" applyFont="1" applyFill="1" applyBorder="1"/>
    <xf numFmtId="0" fontId="16" fillId="2" borderId="1" xfId="0" applyFont="1" applyFill="1" applyBorder="1"/>
    <xf numFmtId="165" fontId="2" fillId="2" borderId="1" xfId="0" applyNumberFormat="1" applyFont="1" applyFill="1" applyBorder="1"/>
    <xf numFmtId="0" fontId="7" fillId="2" borderId="1" xfId="78" applyNumberFormat="1" applyFont="1" applyFill="1" applyBorder="1" applyAlignment="1">
      <alignment horizontal="right" vertical="center"/>
    </xf>
    <xf numFmtId="165" fontId="16" fillId="2" borderId="1" xfId="0" applyNumberFormat="1" applyFont="1" applyFill="1" applyBorder="1"/>
    <xf numFmtId="165" fontId="13" fillId="2" borderId="1" xfId="0" applyNumberFormat="1" applyFont="1" applyFill="1" applyBorder="1"/>
    <xf numFmtId="164" fontId="13" fillId="2" borderId="1" xfId="78" applyFont="1" applyFill="1" applyBorder="1"/>
    <xf numFmtId="0" fontId="31" fillId="4" borderId="0" xfId="0" applyFont="1" applyFill="1" applyBorder="1"/>
    <xf numFmtId="6" fontId="6" fillId="4" borderId="0" xfId="0" applyNumberFormat="1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1" fillId="2" borderId="0" xfId="0" applyFont="1" applyFill="1"/>
    <xf numFmtId="164" fontId="6" fillId="2" borderId="0" xfId="78" applyFont="1" applyFill="1" applyAlignment="1">
      <alignment horizontal="right" vertical="center"/>
    </xf>
    <xf numFmtId="165" fontId="11" fillId="2" borderId="0" xfId="0" applyNumberFormat="1" applyFont="1" applyFill="1"/>
    <xf numFmtId="165" fontId="6" fillId="2" borderId="0" xfId="78" applyNumberFormat="1" applyFont="1" applyFill="1"/>
    <xf numFmtId="165" fontId="6" fillId="2" borderId="0" xfId="0" applyNumberFormat="1" applyFont="1" applyFill="1"/>
    <xf numFmtId="164" fontId="6" fillId="2" borderId="0" xfId="78" applyFont="1" applyFill="1"/>
    <xf numFmtId="0" fontId="6" fillId="2" borderId="0" xfId="0" applyFont="1" applyFill="1" applyBorder="1"/>
    <xf numFmtId="0" fontId="11" fillId="2" borderId="0" xfId="0" applyFont="1" applyFill="1" applyBorder="1"/>
    <xf numFmtId="164" fontId="6" fillId="2" borderId="0" xfId="78" applyFont="1" applyFill="1" applyBorder="1" applyAlignment="1">
      <alignment horizontal="right" vertical="center"/>
    </xf>
    <xf numFmtId="0" fontId="25" fillId="2" borderId="0" xfId="0" applyFont="1" applyFill="1"/>
    <xf numFmtId="0" fontId="12" fillId="2" borderId="0" xfId="0" applyFont="1" applyFill="1" applyBorder="1"/>
    <xf numFmtId="164" fontId="12" fillId="2" borderId="0" xfId="78" applyFont="1" applyFill="1"/>
    <xf numFmtId="165" fontId="12" fillId="2" borderId="0" xfId="0" applyNumberFormat="1" applyFont="1" applyFill="1"/>
    <xf numFmtId="165" fontId="6" fillId="2" borderId="0" xfId="0" applyNumberFormat="1" applyFont="1" applyFill="1" applyBorder="1" applyAlignment="1">
      <alignment horizontal="right" vertical="center"/>
    </xf>
    <xf numFmtId="165" fontId="11" fillId="2" borderId="0" xfId="78" applyNumberFormat="1" applyFont="1" applyFill="1"/>
    <xf numFmtId="0" fontId="7" fillId="2" borderId="0" xfId="0" applyFont="1" applyFill="1"/>
    <xf numFmtId="0" fontId="27" fillId="2" borderId="0" xfId="0" applyFont="1" applyFill="1"/>
    <xf numFmtId="0" fontId="23" fillId="2" borderId="0" xfId="0" applyFont="1" applyFill="1" applyBorder="1"/>
    <xf numFmtId="165" fontId="6" fillId="2" borderId="0" xfId="78" applyNumberFormat="1" applyFont="1" applyFill="1" applyBorder="1"/>
    <xf numFmtId="0" fontId="6" fillId="2" borderId="0" xfId="78" applyNumberFormat="1" applyFont="1" applyFill="1" applyBorder="1" applyAlignment="1">
      <alignment horizontal="right" vertical="center"/>
    </xf>
    <xf numFmtId="0" fontId="31" fillId="2" borderId="0" xfId="0" applyFont="1" applyFill="1" applyBorder="1"/>
    <xf numFmtId="0" fontId="28" fillId="6" borderId="0" xfId="0" applyFont="1" applyFill="1"/>
    <xf numFmtId="0" fontId="29" fillId="6" borderId="0" xfId="0" applyFont="1" applyFill="1"/>
    <xf numFmtId="165" fontId="28" fillId="6" borderId="0" xfId="0" applyNumberFormat="1" applyFont="1" applyFill="1"/>
    <xf numFmtId="0" fontId="28" fillId="6" borderId="0" xfId="0" applyFont="1" applyFill="1" applyAlignment="1">
      <alignment horizontal="right" vertical="center"/>
    </xf>
    <xf numFmtId="164" fontId="28" fillId="6" borderId="0" xfId="0" applyNumberFormat="1" applyFont="1" applyFill="1"/>
    <xf numFmtId="0" fontId="30" fillId="6" borderId="0" xfId="0" applyFont="1" applyFill="1"/>
    <xf numFmtId="0" fontId="32" fillId="7" borderId="0" xfId="0" applyFont="1" applyFill="1"/>
    <xf numFmtId="165" fontId="33" fillId="7" borderId="0" xfId="0" applyNumberFormat="1" applyFont="1" applyFill="1"/>
    <xf numFmtId="0" fontId="32" fillId="7" borderId="0" xfId="0" applyFont="1" applyFill="1" applyBorder="1"/>
    <xf numFmtId="165" fontId="6" fillId="4" borderId="0" xfId="0" applyNumberFormat="1" applyFont="1" applyFill="1" applyAlignment="1">
      <alignment horizontal="right" vertical="center"/>
    </xf>
    <xf numFmtId="0" fontId="23" fillId="4" borderId="0" xfId="0" applyFont="1" applyFill="1"/>
    <xf numFmtId="165" fontId="25" fillId="4" borderId="0" xfId="0" applyNumberFormat="1" applyFont="1" applyFill="1"/>
    <xf numFmtId="9" fontId="2" fillId="2" borderId="0" xfId="79" applyFont="1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8"/>
  <sheetViews>
    <sheetView zoomScale="110" zoomScaleNormal="110" workbookViewId="0">
      <selection activeCell="B46" sqref="B46"/>
    </sheetView>
  </sheetViews>
  <sheetFormatPr baseColWidth="10" defaultColWidth="8.83203125" defaultRowHeight="16" x14ac:dyDescent="0.2"/>
  <cols>
    <col min="1" max="1" width="22" style="27" bestFit="1" customWidth="1"/>
    <col min="2" max="2" width="20.33203125" style="27" bestFit="1" customWidth="1"/>
    <col min="3" max="3" width="19.33203125" style="27" bestFit="1" customWidth="1"/>
    <col min="4" max="4" width="22.33203125" style="27" bestFit="1" customWidth="1"/>
    <col min="5" max="5" width="12.1640625" style="27" bestFit="1" customWidth="1"/>
    <col min="6" max="6" width="11" style="27" customWidth="1"/>
    <col min="7" max="7" width="11.5" style="27" bestFit="1" customWidth="1"/>
    <col min="8" max="8" width="16.83203125" style="27" bestFit="1" customWidth="1"/>
    <col min="9" max="9" width="15.33203125" style="27" bestFit="1" customWidth="1"/>
    <col min="10" max="10" width="11.1640625" style="27" bestFit="1" customWidth="1"/>
    <col min="11" max="11" width="11.6640625" style="27" bestFit="1" customWidth="1"/>
    <col min="12" max="12" width="15.83203125" style="27" bestFit="1" customWidth="1"/>
    <col min="13" max="258" width="11" style="27" customWidth="1"/>
    <col min="259" max="16384" width="8.83203125" style="27"/>
  </cols>
  <sheetData>
    <row r="1" spans="1:13" x14ac:dyDescent="0.2">
      <c r="A1" s="110" t="str">
        <f>+SUMMARY!A7</f>
        <v>PAYROLL 26rd Sept- 23UGLY DUMPLING  TEAM</v>
      </c>
      <c r="B1" s="110"/>
      <c r="C1" s="110"/>
      <c r="D1" s="110"/>
      <c r="E1" s="110"/>
      <c r="F1" s="110"/>
      <c r="G1" s="110"/>
      <c r="H1" s="110"/>
      <c r="I1" s="110"/>
    </row>
    <row r="2" spans="1:13" x14ac:dyDescent="0.2">
      <c r="A2" s="110"/>
      <c r="B2" s="110"/>
      <c r="C2" s="110"/>
      <c r="D2" s="110"/>
      <c r="E2" s="110"/>
      <c r="F2" s="110"/>
      <c r="G2" s="110"/>
      <c r="H2" s="110"/>
      <c r="I2" s="110"/>
    </row>
    <row r="4" spans="1:13" x14ac:dyDescent="0.2">
      <c r="A4" s="28"/>
      <c r="B4" s="28"/>
      <c r="C4" s="28"/>
      <c r="D4" s="28"/>
      <c r="E4" s="28"/>
      <c r="F4" s="28"/>
      <c r="G4" s="28"/>
      <c r="H4" s="28"/>
      <c r="I4" s="28"/>
    </row>
    <row r="5" spans="1:13" x14ac:dyDescent="0.2">
      <c r="A5" s="35" t="s">
        <v>0</v>
      </c>
      <c r="B5" s="35" t="s">
        <v>1</v>
      </c>
      <c r="C5" s="35" t="s">
        <v>2</v>
      </c>
      <c r="D5" s="35" t="s">
        <v>52</v>
      </c>
      <c r="E5" s="35" t="s">
        <v>58</v>
      </c>
      <c r="F5" s="35" t="s">
        <v>5</v>
      </c>
      <c r="G5" s="35" t="s">
        <v>53</v>
      </c>
      <c r="H5" s="35" t="s">
        <v>61</v>
      </c>
      <c r="I5" s="35" t="s">
        <v>54</v>
      </c>
      <c r="J5" s="35" t="s">
        <v>55</v>
      </c>
      <c r="K5" s="35" t="s">
        <v>56</v>
      </c>
      <c r="L5" s="35" t="s">
        <v>57</v>
      </c>
    </row>
    <row r="6" spans="1:13" x14ac:dyDescent="0.2">
      <c r="A6" s="4" t="s">
        <v>15</v>
      </c>
      <c r="B6" s="4" t="s">
        <v>40</v>
      </c>
      <c r="C6" s="4" t="s">
        <v>41</v>
      </c>
      <c r="D6" s="114" t="s">
        <v>11</v>
      </c>
      <c r="E6" s="115">
        <v>10</v>
      </c>
      <c r="F6" s="114">
        <v>152.66999999999999</v>
      </c>
      <c r="G6" s="116">
        <f>E6*F6</f>
        <v>1526.6999999999998</v>
      </c>
      <c r="H6" s="117">
        <v>140</v>
      </c>
      <c r="I6" s="118"/>
      <c r="J6" s="4"/>
      <c r="K6" s="119">
        <v>2.5</v>
      </c>
      <c r="L6" s="4" t="s">
        <v>157</v>
      </c>
    </row>
    <row r="7" spans="1:13" x14ac:dyDescent="0.2">
      <c r="A7" s="7" t="s">
        <v>97</v>
      </c>
      <c r="B7" s="74" t="s">
        <v>29</v>
      </c>
      <c r="C7" s="74" t="s">
        <v>30</v>
      </c>
      <c r="D7" s="74" t="s">
        <v>11</v>
      </c>
      <c r="E7" s="83">
        <v>11</v>
      </c>
      <c r="F7" s="74">
        <v>101.81</v>
      </c>
      <c r="G7" s="75">
        <f t="shared" ref="G7:G45" si="0">E7*F7</f>
        <v>1119.9100000000001</v>
      </c>
      <c r="H7" s="80">
        <v>90</v>
      </c>
      <c r="I7" s="8"/>
      <c r="J7" s="7"/>
      <c r="K7" s="76"/>
      <c r="L7" s="7" t="s">
        <v>159</v>
      </c>
    </row>
    <row r="8" spans="1:13" x14ac:dyDescent="0.2">
      <c r="A8" s="120" t="s">
        <v>97</v>
      </c>
      <c r="B8" s="121" t="s">
        <v>26</v>
      </c>
      <c r="C8" s="121" t="s">
        <v>27</v>
      </c>
      <c r="D8" s="114" t="s">
        <v>11</v>
      </c>
      <c r="E8" s="122">
        <v>10</v>
      </c>
      <c r="F8" s="4">
        <v>98.16</v>
      </c>
      <c r="G8" s="116">
        <f t="shared" si="0"/>
        <v>981.59999999999991</v>
      </c>
      <c r="H8" s="117">
        <v>50</v>
      </c>
      <c r="I8" s="118"/>
      <c r="J8" s="4"/>
      <c r="K8" s="119"/>
      <c r="L8" s="4" t="s">
        <v>158</v>
      </c>
    </row>
    <row r="9" spans="1:13" x14ac:dyDescent="0.2">
      <c r="A9" s="9" t="s">
        <v>116</v>
      </c>
      <c r="B9" s="77" t="s">
        <v>42</v>
      </c>
      <c r="C9" s="77" t="s">
        <v>43</v>
      </c>
      <c r="D9" s="74" t="s">
        <v>11</v>
      </c>
      <c r="E9" s="84">
        <v>11</v>
      </c>
      <c r="F9" s="74">
        <v>158.19</v>
      </c>
      <c r="G9" s="75">
        <f t="shared" si="0"/>
        <v>1740.09</v>
      </c>
      <c r="H9" s="80">
        <v>130</v>
      </c>
      <c r="I9" s="8"/>
      <c r="J9" s="7"/>
      <c r="K9" s="76">
        <v>3.5</v>
      </c>
      <c r="L9" s="7" t="s">
        <v>160</v>
      </c>
      <c r="M9" s="147"/>
    </row>
    <row r="10" spans="1:13" ht="17" customHeight="1" x14ac:dyDescent="0.2">
      <c r="A10" s="4" t="s">
        <v>97</v>
      </c>
      <c r="B10" s="120" t="s">
        <v>82</v>
      </c>
      <c r="C10" s="4" t="s">
        <v>83</v>
      </c>
      <c r="D10" s="114" t="s">
        <v>11</v>
      </c>
      <c r="E10" s="119">
        <v>11</v>
      </c>
      <c r="F10" s="114">
        <v>181.09</v>
      </c>
      <c r="G10" s="116">
        <f t="shared" si="0"/>
        <v>1991.99</v>
      </c>
      <c r="H10" s="118">
        <v>140</v>
      </c>
      <c r="I10" s="118"/>
      <c r="J10" s="4"/>
      <c r="K10" s="119">
        <v>3</v>
      </c>
      <c r="L10" s="118" t="s">
        <v>160</v>
      </c>
    </row>
    <row r="11" spans="1:13" ht="17" customHeight="1" x14ac:dyDescent="0.2">
      <c r="A11" s="7" t="s">
        <v>15</v>
      </c>
      <c r="B11" s="9" t="s">
        <v>60</v>
      </c>
      <c r="C11" s="7" t="s">
        <v>59</v>
      </c>
      <c r="D11" s="74" t="s">
        <v>11</v>
      </c>
      <c r="E11" s="76">
        <v>9</v>
      </c>
      <c r="F11" s="74">
        <v>140.61000000000001</v>
      </c>
      <c r="G11" s="75">
        <f t="shared" si="0"/>
        <v>1265.4900000000002</v>
      </c>
      <c r="H11" s="8"/>
      <c r="I11" s="8"/>
      <c r="J11" s="7"/>
      <c r="K11" s="76">
        <v>1</v>
      </c>
      <c r="L11" s="109"/>
    </row>
    <row r="12" spans="1:13" ht="17" customHeight="1" x14ac:dyDescent="0.2">
      <c r="A12" s="4" t="s">
        <v>15</v>
      </c>
      <c r="B12" s="120" t="s">
        <v>77</v>
      </c>
      <c r="C12" s="4" t="s">
        <v>78</v>
      </c>
      <c r="D12" s="114" t="s">
        <v>11</v>
      </c>
      <c r="E12" s="119">
        <v>9</v>
      </c>
      <c r="F12" s="114">
        <v>63.01</v>
      </c>
      <c r="G12" s="116">
        <f t="shared" si="0"/>
        <v>567.09</v>
      </c>
      <c r="H12" s="118"/>
      <c r="I12" s="118"/>
      <c r="J12" s="4"/>
      <c r="K12" s="119">
        <v>1</v>
      </c>
      <c r="L12" s="123" t="s">
        <v>133</v>
      </c>
    </row>
    <row r="13" spans="1:13" ht="17" customHeight="1" x14ac:dyDescent="0.2">
      <c r="A13" s="85" t="s">
        <v>15</v>
      </c>
      <c r="B13" s="86" t="s">
        <v>84</v>
      </c>
      <c r="C13" s="85" t="s">
        <v>85</v>
      </c>
      <c r="D13" s="74" t="s">
        <v>11</v>
      </c>
      <c r="E13" s="87">
        <v>9</v>
      </c>
      <c r="F13" s="74">
        <v>69.12</v>
      </c>
      <c r="G13" s="75">
        <f t="shared" si="0"/>
        <v>622.08000000000004</v>
      </c>
      <c r="H13" s="88"/>
      <c r="I13" s="88"/>
      <c r="J13" s="85"/>
      <c r="K13" s="87">
        <v>1</v>
      </c>
      <c r="L13" s="85" t="s">
        <v>158</v>
      </c>
    </row>
    <row r="14" spans="1:13" ht="17" customHeight="1" x14ac:dyDescent="0.2">
      <c r="A14" s="10" t="s">
        <v>15</v>
      </c>
      <c r="B14" s="124" t="s">
        <v>117</v>
      </c>
      <c r="C14" s="10" t="s">
        <v>118</v>
      </c>
      <c r="D14" s="114" t="s">
        <v>11</v>
      </c>
      <c r="E14" s="125">
        <v>9</v>
      </c>
      <c r="F14" s="114">
        <v>100.71</v>
      </c>
      <c r="G14" s="116">
        <f t="shared" si="0"/>
        <v>906.39</v>
      </c>
      <c r="H14" s="126"/>
      <c r="I14" s="126"/>
      <c r="J14" s="10"/>
      <c r="K14" s="125">
        <v>0.5</v>
      </c>
      <c r="L14" s="10"/>
    </row>
    <row r="15" spans="1:13" ht="17" customHeight="1" x14ac:dyDescent="0.2">
      <c r="A15" s="85" t="s">
        <v>15</v>
      </c>
      <c r="B15" s="86" t="s">
        <v>98</v>
      </c>
      <c r="C15" s="85" t="s">
        <v>99</v>
      </c>
      <c r="D15" s="74" t="s">
        <v>11</v>
      </c>
      <c r="E15" s="87">
        <v>9.5</v>
      </c>
      <c r="F15" s="74">
        <v>71.290000000000006</v>
      </c>
      <c r="G15" s="75">
        <f t="shared" si="0"/>
        <v>677.25500000000011</v>
      </c>
      <c r="H15" s="88"/>
      <c r="I15" s="88"/>
      <c r="J15" s="85"/>
      <c r="K15" s="87">
        <v>0.5</v>
      </c>
      <c r="L15" s="85"/>
    </row>
    <row r="16" spans="1:13" ht="17" customHeight="1" x14ac:dyDescent="0.2">
      <c r="A16" s="10" t="s">
        <v>15</v>
      </c>
      <c r="B16" s="124" t="s">
        <v>119</v>
      </c>
      <c r="C16" s="10" t="s">
        <v>120</v>
      </c>
      <c r="D16" s="114" t="s">
        <v>11</v>
      </c>
      <c r="E16" s="125">
        <v>8.5</v>
      </c>
      <c r="F16" s="114">
        <v>81.599999999999994</v>
      </c>
      <c r="G16" s="116">
        <f t="shared" si="0"/>
        <v>693.59999999999991</v>
      </c>
      <c r="H16" s="126"/>
      <c r="I16" s="126"/>
      <c r="J16" s="10"/>
      <c r="K16" s="125">
        <v>0.5</v>
      </c>
      <c r="L16" s="10" t="s">
        <v>132</v>
      </c>
    </row>
    <row r="17" spans="1:19" ht="17" customHeight="1" x14ac:dyDescent="0.2">
      <c r="A17" s="85" t="s">
        <v>15</v>
      </c>
      <c r="B17" s="86" t="s">
        <v>121</v>
      </c>
      <c r="C17" s="85" t="s">
        <v>122</v>
      </c>
      <c r="D17" s="74" t="s">
        <v>11</v>
      </c>
      <c r="E17" s="87">
        <v>8.5</v>
      </c>
      <c r="F17" s="74">
        <v>20.399999999999999</v>
      </c>
      <c r="G17" s="75">
        <f t="shared" si="0"/>
        <v>173.39999999999998</v>
      </c>
      <c r="H17" s="88"/>
      <c r="I17" s="88"/>
      <c r="J17" s="85"/>
      <c r="K17" s="87">
        <v>0.5</v>
      </c>
      <c r="L17" s="85" t="s">
        <v>158</v>
      </c>
    </row>
    <row r="18" spans="1:19" ht="17" customHeight="1" x14ac:dyDescent="0.2">
      <c r="A18" s="10" t="s">
        <v>15</v>
      </c>
      <c r="B18" s="124" t="s">
        <v>130</v>
      </c>
      <c r="C18" s="10" t="s">
        <v>131</v>
      </c>
      <c r="D18" s="114" t="s">
        <v>11</v>
      </c>
      <c r="E18" s="125">
        <v>9.5</v>
      </c>
      <c r="F18" s="114">
        <v>123.64</v>
      </c>
      <c r="G18" s="116">
        <f t="shared" si="0"/>
        <v>1174.58</v>
      </c>
      <c r="H18" s="126"/>
      <c r="I18" s="126"/>
      <c r="J18" s="10"/>
      <c r="K18" s="125">
        <v>1</v>
      </c>
      <c r="L18" s="10"/>
    </row>
    <row r="19" spans="1:19" ht="17" customHeight="1" x14ac:dyDescent="0.2">
      <c r="A19" s="85" t="s">
        <v>125</v>
      </c>
      <c r="B19" s="86" t="s">
        <v>123</v>
      </c>
      <c r="C19" s="85" t="s">
        <v>124</v>
      </c>
      <c r="D19" s="74" t="s">
        <v>11</v>
      </c>
      <c r="E19" s="87">
        <v>10.5</v>
      </c>
      <c r="F19" s="74">
        <v>29.51</v>
      </c>
      <c r="G19" s="75">
        <f t="shared" si="0"/>
        <v>309.85500000000002</v>
      </c>
      <c r="H19" s="88"/>
      <c r="I19" s="88"/>
      <c r="J19" s="85"/>
      <c r="K19" s="87">
        <v>1</v>
      </c>
      <c r="L19" s="85" t="s">
        <v>158</v>
      </c>
    </row>
    <row r="20" spans="1:19" ht="17" customHeight="1" x14ac:dyDescent="0.2">
      <c r="A20" s="10" t="s">
        <v>142</v>
      </c>
      <c r="B20" s="124" t="s">
        <v>138</v>
      </c>
      <c r="C20" s="10" t="s">
        <v>139</v>
      </c>
      <c r="D20" s="114" t="s">
        <v>11</v>
      </c>
      <c r="E20" s="125">
        <v>9.5</v>
      </c>
      <c r="F20" s="114">
        <v>15.35</v>
      </c>
      <c r="G20" s="116">
        <f t="shared" si="0"/>
        <v>145.82499999999999</v>
      </c>
      <c r="H20" s="126"/>
      <c r="I20" s="126"/>
      <c r="J20" s="10"/>
      <c r="K20" s="125">
        <v>1</v>
      </c>
      <c r="L20" s="10" t="s">
        <v>108</v>
      </c>
    </row>
    <row r="21" spans="1:19" ht="17" customHeight="1" x14ac:dyDescent="0.2">
      <c r="A21" s="85" t="s">
        <v>142</v>
      </c>
      <c r="B21" s="86" t="s">
        <v>140</v>
      </c>
      <c r="C21" s="85" t="s">
        <v>141</v>
      </c>
      <c r="D21" s="74" t="s">
        <v>11</v>
      </c>
      <c r="E21" s="87">
        <v>9.5</v>
      </c>
      <c r="F21" s="74">
        <v>21.46</v>
      </c>
      <c r="G21" s="75">
        <f t="shared" si="0"/>
        <v>203.87</v>
      </c>
      <c r="H21" s="88"/>
      <c r="I21" s="88"/>
      <c r="J21" s="85"/>
      <c r="K21" s="87">
        <v>1</v>
      </c>
      <c r="L21" s="85" t="s">
        <v>132</v>
      </c>
    </row>
    <row r="22" spans="1:19" ht="17" customHeight="1" x14ac:dyDescent="0.2">
      <c r="A22" s="10" t="s">
        <v>15</v>
      </c>
      <c r="B22" s="124" t="s">
        <v>105</v>
      </c>
      <c r="C22" s="10" t="s">
        <v>106</v>
      </c>
      <c r="D22" s="114" t="s">
        <v>11</v>
      </c>
      <c r="E22" s="125">
        <v>8</v>
      </c>
      <c r="F22" s="114">
        <f>54.38+19.25</f>
        <v>73.63</v>
      </c>
      <c r="G22" s="116">
        <f t="shared" si="0"/>
        <v>589.04</v>
      </c>
      <c r="H22" s="126"/>
      <c r="I22" s="126"/>
      <c r="J22" s="10"/>
      <c r="K22" s="125">
        <v>0.5</v>
      </c>
      <c r="L22" s="10"/>
    </row>
    <row r="23" spans="1:19" ht="29" customHeight="1" x14ac:dyDescent="0.2">
      <c r="A23" s="141"/>
      <c r="B23" s="141"/>
      <c r="C23" s="141"/>
      <c r="D23" s="141"/>
      <c r="E23" s="141"/>
      <c r="F23" s="141"/>
      <c r="G23" s="142"/>
      <c r="H23" s="141"/>
      <c r="I23" s="143"/>
      <c r="J23" s="143"/>
      <c r="K23" s="143"/>
      <c r="L23" s="143"/>
      <c r="M23" s="16"/>
      <c r="N23" s="13"/>
      <c r="O23" s="16"/>
      <c r="P23" s="29"/>
      <c r="Q23" s="31"/>
      <c r="R23" s="33"/>
      <c r="S23" s="30"/>
    </row>
    <row r="24" spans="1:19" x14ac:dyDescent="0.2">
      <c r="A24" s="120" t="s">
        <v>31</v>
      </c>
      <c r="B24" s="121" t="s">
        <v>32</v>
      </c>
      <c r="C24" s="121" t="s">
        <v>33</v>
      </c>
      <c r="D24" s="114" t="s">
        <v>11</v>
      </c>
      <c r="E24" s="127">
        <v>10</v>
      </c>
      <c r="F24" s="121">
        <v>21.37</v>
      </c>
      <c r="G24" s="116">
        <f t="shared" si="0"/>
        <v>213.70000000000002</v>
      </c>
      <c r="H24" s="128"/>
      <c r="I24" s="116"/>
      <c r="J24" s="4"/>
      <c r="K24" s="119"/>
      <c r="L24" s="129"/>
      <c r="M24" s="32"/>
      <c r="N24" s="32"/>
      <c r="O24" s="32"/>
      <c r="P24" s="32"/>
      <c r="Q24" s="32"/>
    </row>
    <row r="25" spans="1:19" x14ac:dyDescent="0.2">
      <c r="A25" s="7" t="s">
        <v>16</v>
      </c>
      <c r="B25" s="7" t="s">
        <v>9</v>
      </c>
      <c r="C25" s="7" t="s">
        <v>10</v>
      </c>
      <c r="D25" s="74" t="s">
        <v>11</v>
      </c>
      <c r="E25" s="144">
        <v>10.7</v>
      </c>
      <c r="F25" s="7">
        <v>156.22</v>
      </c>
      <c r="G25" s="75">
        <f t="shared" si="0"/>
        <v>1671.5539999999999</v>
      </c>
      <c r="H25" s="80">
        <v>160</v>
      </c>
      <c r="I25" s="8"/>
      <c r="J25" s="7"/>
      <c r="K25" s="76"/>
      <c r="L25" s="99"/>
      <c r="M25" s="32"/>
      <c r="N25" s="32"/>
      <c r="O25" s="32"/>
      <c r="P25" s="32"/>
      <c r="Q25" s="32"/>
    </row>
    <row r="26" spans="1:19" x14ac:dyDescent="0.2">
      <c r="A26" s="120" t="s">
        <v>16</v>
      </c>
      <c r="B26" s="120" t="s">
        <v>24</v>
      </c>
      <c r="C26" s="120" t="s">
        <v>25</v>
      </c>
      <c r="D26" s="114" t="s">
        <v>11</v>
      </c>
      <c r="E26" s="127">
        <v>10.7</v>
      </c>
      <c r="F26" s="120">
        <v>20</v>
      </c>
      <c r="G26" s="116">
        <f t="shared" si="0"/>
        <v>214</v>
      </c>
      <c r="H26" s="117"/>
      <c r="I26" s="118"/>
      <c r="J26" s="4"/>
      <c r="K26" s="119"/>
      <c r="L26" s="130" t="s">
        <v>137</v>
      </c>
      <c r="M26" s="32"/>
      <c r="N26" s="32"/>
      <c r="O26" s="32"/>
      <c r="P26" s="32"/>
      <c r="Q26" s="32"/>
    </row>
    <row r="27" spans="1:19" x14ac:dyDescent="0.2">
      <c r="A27" s="9" t="s">
        <v>21</v>
      </c>
      <c r="B27" s="77" t="s">
        <v>51</v>
      </c>
      <c r="C27" s="77" t="s">
        <v>28</v>
      </c>
      <c r="D27" s="74" t="s">
        <v>11</v>
      </c>
      <c r="E27" s="78">
        <v>10</v>
      </c>
      <c r="F27" s="79">
        <f>'Dumpling Bonus '!G8</f>
        <v>72.37</v>
      </c>
      <c r="G27" s="75">
        <f t="shared" si="0"/>
        <v>723.7</v>
      </c>
      <c r="H27" s="80"/>
      <c r="I27" s="8">
        <f>+'Dumpling Bonus '!J8</f>
        <v>27.8125</v>
      </c>
      <c r="J27" s="7"/>
      <c r="K27" s="76"/>
      <c r="L27" s="100"/>
      <c r="M27" s="32"/>
      <c r="N27" s="32"/>
      <c r="O27" s="32"/>
      <c r="P27" s="32"/>
      <c r="Q27" s="32"/>
    </row>
    <row r="28" spans="1:19" x14ac:dyDescent="0.2">
      <c r="A28" s="4" t="s">
        <v>21</v>
      </c>
      <c r="B28" s="120" t="s">
        <v>13</v>
      </c>
      <c r="C28" s="120" t="s">
        <v>12</v>
      </c>
      <c r="D28" s="114" t="s">
        <v>11</v>
      </c>
      <c r="E28" s="127">
        <v>10</v>
      </c>
      <c r="F28" s="131">
        <f>'Dumpling Bonus '!$G7</f>
        <v>100.46000000000001</v>
      </c>
      <c r="G28" s="116">
        <f t="shared" si="0"/>
        <v>1004.6000000000001</v>
      </c>
      <c r="H28" s="132"/>
      <c r="I28" s="132">
        <f>'Dumpling Bonus '!J7+50</f>
        <v>142.92499999999995</v>
      </c>
      <c r="J28" s="4"/>
      <c r="K28" s="119"/>
      <c r="L28" s="129"/>
      <c r="M28" s="32"/>
      <c r="N28" s="32"/>
      <c r="O28" s="32"/>
      <c r="P28" s="32"/>
      <c r="Q28" s="32"/>
    </row>
    <row r="29" spans="1:19" x14ac:dyDescent="0.2">
      <c r="A29" s="7" t="s">
        <v>21</v>
      </c>
      <c r="B29" s="9" t="s">
        <v>79</v>
      </c>
      <c r="C29" s="9" t="s">
        <v>80</v>
      </c>
      <c r="D29" s="74" t="s">
        <v>11</v>
      </c>
      <c r="E29" s="78">
        <v>9.5</v>
      </c>
      <c r="F29" s="79">
        <v>144.06</v>
      </c>
      <c r="G29" s="75">
        <f t="shared" si="0"/>
        <v>1368.57</v>
      </c>
      <c r="H29" s="81"/>
      <c r="I29" s="81">
        <v>50</v>
      </c>
      <c r="J29" s="7"/>
      <c r="K29" s="76"/>
      <c r="L29" s="100"/>
      <c r="M29" s="32"/>
      <c r="N29" s="32"/>
      <c r="O29" s="32"/>
      <c r="P29" s="32"/>
      <c r="Q29" s="32"/>
    </row>
    <row r="30" spans="1:19" x14ac:dyDescent="0.2">
      <c r="A30" s="4" t="s">
        <v>34</v>
      </c>
      <c r="B30" s="4" t="s">
        <v>36</v>
      </c>
      <c r="C30" s="4" t="s">
        <v>37</v>
      </c>
      <c r="D30" s="114" t="s">
        <v>11</v>
      </c>
      <c r="E30" s="127">
        <v>9.5</v>
      </c>
      <c r="F30" s="4">
        <v>154.08000000000001</v>
      </c>
      <c r="G30" s="116">
        <f t="shared" si="0"/>
        <v>1463.7600000000002</v>
      </c>
      <c r="H30" s="118">
        <v>80</v>
      </c>
      <c r="I30" s="118"/>
      <c r="J30" s="4"/>
      <c r="K30" s="119">
        <v>1</v>
      </c>
      <c r="L30" s="130"/>
    </row>
    <row r="31" spans="1:19" x14ac:dyDescent="0.2">
      <c r="A31" s="7" t="s">
        <v>46</v>
      </c>
      <c r="B31" s="7" t="s">
        <v>39</v>
      </c>
      <c r="C31" s="7" t="s">
        <v>38</v>
      </c>
      <c r="D31" s="74" t="s">
        <v>11</v>
      </c>
      <c r="E31" s="78">
        <v>10</v>
      </c>
      <c r="F31" s="145">
        <f>20*4</f>
        <v>80</v>
      </c>
      <c r="G31" s="75">
        <f t="shared" si="0"/>
        <v>800</v>
      </c>
      <c r="H31" s="8"/>
      <c r="I31" s="8"/>
      <c r="J31" s="7"/>
      <c r="K31" s="76">
        <v>3</v>
      </c>
      <c r="L31" s="100" t="s">
        <v>168</v>
      </c>
    </row>
    <row r="32" spans="1:19" x14ac:dyDescent="0.2">
      <c r="A32" s="4" t="s">
        <v>46</v>
      </c>
      <c r="B32" s="4" t="s">
        <v>44</v>
      </c>
      <c r="C32" s="4" t="s">
        <v>45</v>
      </c>
      <c r="D32" s="114" t="s">
        <v>11</v>
      </c>
      <c r="E32" s="127">
        <v>9</v>
      </c>
      <c r="F32" s="4">
        <v>83.68</v>
      </c>
      <c r="G32" s="116">
        <f t="shared" si="0"/>
        <v>753.12000000000012</v>
      </c>
      <c r="H32" s="118"/>
      <c r="I32" s="118"/>
      <c r="J32" s="4"/>
      <c r="K32" s="119">
        <v>0.5</v>
      </c>
      <c r="L32" s="130" t="s">
        <v>162</v>
      </c>
    </row>
    <row r="33" spans="1:12" x14ac:dyDescent="0.2">
      <c r="A33" s="7" t="s">
        <v>46</v>
      </c>
      <c r="B33" s="9" t="s">
        <v>49</v>
      </c>
      <c r="C33" s="7" t="s">
        <v>50</v>
      </c>
      <c r="D33" s="74" t="s">
        <v>11</v>
      </c>
      <c r="E33" s="8">
        <v>8.5</v>
      </c>
      <c r="F33" s="82">
        <v>95.88</v>
      </c>
      <c r="G33" s="75">
        <f t="shared" si="0"/>
        <v>814.98</v>
      </c>
      <c r="H33" s="8"/>
      <c r="I33" s="8"/>
      <c r="J33" s="7"/>
      <c r="K33" s="76">
        <v>0.5</v>
      </c>
      <c r="L33" s="100" t="s">
        <v>163</v>
      </c>
    </row>
    <row r="34" spans="1:12" x14ac:dyDescent="0.2">
      <c r="A34" s="4" t="s">
        <v>46</v>
      </c>
      <c r="B34" s="120" t="s">
        <v>86</v>
      </c>
      <c r="C34" s="4" t="s">
        <v>87</v>
      </c>
      <c r="D34" s="114" t="s">
        <v>11</v>
      </c>
      <c r="E34" s="118">
        <v>8.5</v>
      </c>
      <c r="F34" s="133">
        <v>109.21</v>
      </c>
      <c r="G34" s="116">
        <f t="shared" si="0"/>
        <v>928.28499999999997</v>
      </c>
      <c r="H34" s="118"/>
      <c r="I34" s="118"/>
      <c r="J34" s="4"/>
      <c r="K34" s="119">
        <v>1</v>
      </c>
      <c r="L34" s="129"/>
    </row>
    <row r="35" spans="1:12" x14ac:dyDescent="0.2">
      <c r="A35" s="7" t="s">
        <v>164</v>
      </c>
      <c r="B35" s="9" t="s">
        <v>89</v>
      </c>
      <c r="C35" s="7" t="s">
        <v>88</v>
      </c>
      <c r="D35" s="74" t="s">
        <v>11</v>
      </c>
      <c r="E35" s="8">
        <v>10</v>
      </c>
      <c r="F35" s="82">
        <f>100</f>
        <v>100</v>
      </c>
      <c r="G35" s="75">
        <f t="shared" si="0"/>
        <v>1000</v>
      </c>
      <c r="H35" s="8">
        <v>130</v>
      </c>
      <c r="I35" s="8"/>
      <c r="J35" s="7"/>
      <c r="K35" s="76">
        <v>1</v>
      </c>
      <c r="L35" s="100"/>
    </row>
    <row r="36" spans="1:12" x14ac:dyDescent="0.2">
      <c r="A36" s="4" t="s">
        <v>21</v>
      </c>
      <c r="B36" s="120" t="s">
        <v>90</v>
      </c>
      <c r="C36" s="4" t="s">
        <v>91</v>
      </c>
      <c r="D36" s="114" t="s">
        <v>11</v>
      </c>
      <c r="E36" s="118">
        <v>9.5</v>
      </c>
      <c r="F36" s="133">
        <v>195.69</v>
      </c>
      <c r="G36" s="116">
        <f t="shared" si="0"/>
        <v>1859.0550000000001</v>
      </c>
      <c r="H36" s="118"/>
      <c r="I36" s="118">
        <v>70</v>
      </c>
      <c r="J36" s="4"/>
      <c r="K36" s="119"/>
      <c r="L36" s="129"/>
    </row>
    <row r="37" spans="1:12" x14ac:dyDescent="0.2">
      <c r="A37" s="7" t="s">
        <v>21</v>
      </c>
      <c r="B37" s="9" t="s">
        <v>94</v>
      </c>
      <c r="C37" s="7"/>
      <c r="D37" s="74" t="s">
        <v>11</v>
      </c>
      <c r="E37" s="8">
        <v>8.5</v>
      </c>
      <c r="F37" s="82">
        <v>6</v>
      </c>
      <c r="G37" s="75">
        <f t="shared" si="0"/>
        <v>51</v>
      </c>
      <c r="H37" s="8"/>
      <c r="I37" s="8"/>
      <c r="J37" s="7"/>
      <c r="K37" s="76"/>
      <c r="L37" s="100"/>
    </row>
    <row r="38" spans="1:12" x14ac:dyDescent="0.2">
      <c r="A38" s="4" t="s">
        <v>46</v>
      </c>
      <c r="B38" s="120" t="s">
        <v>103</v>
      </c>
      <c r="C38" s="4" t="s">
        <v>101</v>
      </c>
      <c r="D38" s="114" t="s">
        <v>11</v>
      </c>
      <c r="E38" s="118">
        <v>9.5</v>
      </c>
      <c r="F38" s="133">
        <v>72.84</v>
      </c>
      <c r="G38" s="116">
        <f t="shared" si="0"/>
        <v>691.98</v>
      </c>
      <c r="H38" s="118"/>
      <c r="I38" s="118"/>
      <c r="J38" s="4"/>
      <c r="K38" s="119">
        <v>2</v>
      </c>
      <c r="L38" s="129"/>
    </row>
    <row r="39" spans="1:12" x14ac:dyDescent="0.2">
      <c r="A39" s="7" t="s">
        <v>46</v>
      </c>
      <c r="B39" s="9" t="s">
        <v>104</v>
      </c>
      <c r="C39" s="7" t="s">
        <v>102</v>
      </c>
      <c r="D39" s="74" t="s">
        <v>11</v>
      </c>
      <c r="E39" s="8">
        <v>9.5</v>
      </c>
      <c r="F39" s="82">
        <v>95.66</v>
      </c>
      <c r="G39" s="75">
        <f>E39*F39</f>
        <v>908.77</v>
      </c>
      <c r="H39" s="8"/>
      <c r="I39" s="8"/>
      <c r="J39" s="7"/>
      <c r="K39" s="76">
        <v>2</v>
      </c>
      <c r="L39" s="100"/>
    </row>
    <row r="40" spans="1:12" x14ac:dyDescent="0.2">
      <c r="A40" s="134" t="s">
        <v>46</v>
      </c>
      <c r="B40" s="135" t="s">
        <v>110</v>
      </c>
      <c r="C40" s="135" t="s">
        <v>111</v>
      </c>
      <c r="D40" s="136" t="s">
        <v>11</v>
      </c>
      <c r="E40" s="137">
        <v>9.5</v>
      </c>
      <c r="F40" s="138">
        <v>132.16</v>
      </c>
      <c r="G40" s="116">
        <f t="shared" si="0"/>
        <v>1255.52</v>
      </c>
      <c r="H40" s="137"/>
      <c r="I40" s="137"/>
      <c r="J40" s="135"/>
      <c r="K40" s="139">
        <v>1</v>
      </c>
      <c r="L40" s="140" t="s">
        <v>108</v>
      </c>
    </row>
    <row r="41" spans="1:12" x14ac:dyDescent="0.2">
      <c r="A41" s="108" t="s">
        <v>46</v>
      </c>
      <c r="B41" s="9" t="s">
        <v>112</v>
      </c>
      <c r="C41" s="7" t="s">
        <v>113</v>
      </c>
      <c r="D41" s="74" t="s">
        <v>11</v>
      </c>
      <c r="E41" s="8">
        <v>9.5</v>
      </c>
      <c r="F41" s="82">
        <v>60.48</v>
      </c>
      <c r="G41" s="75">
        <f t="shared" si="0"/>
        <v>574.55999999999995</v>
      </c>
      <c r="H41" s="8"/>
      <c r="I41" s="8">
        <v>50</v>
      </c>
      <c r="J41" s="7"/>
      <c r="K41" s="76"/>
      <c r="L41" s="100" t="s">
        <v>108</v>
      </c>
    </row>
    <row r="42" spans="1:12" x14ac:dyDescent="0.2">
      <c r="A42" s="134" t="s">
        <v>136</v>
      </c>
      <c r="B42" s="120" t="s">
        <v>114</v>
      </c>
      <c r="C42" s="4" t="s">
        <v>115</v>
      </c>
      <c r="D42" s="114" t="s">
        <v>11</v>
      </c>
      <c r="E42" s="118">
        <v>10.7</v>
      </c>
      <c r="F42" s="133">
        <v>115.38</v>
      </c>
      <c r="G42" s="116">
        <f t="shared" si="0"/>
        <v>1234.5659999999998</v>
      </c>
      <c r="H42" s="118"/>
      <c r="I42" s="118"/>
      <c r="J42" s="4"/>
      <c r="K42" s="119">
        <v>1</v>
      </c>
      <c r="L42" s="130" t="s">
        <v>171</v>
      </c>
    </row>
    <row r="43" spans="1:12" x14ac:dyDescent="0.2">
      <c r="A43" s="108" t="s">
        <v>46</v>
      </c>
      <c r="B43" s="9" t="s">
        <v>126</v>
      </c>
      <c r="C43" s="7" t="s">
        <v>127</v>
      </c>
      <c r="D43" s="74" t="s">
        <v>11</v>
      </c>
      <c r="E43" s="8">
        <v>8.5</v>
      </c>
      <c r="F43" s="82">
        <v>98.89</v>
      </c>
      <c r="G43" s="75">
        <f t="shared" si="0"/>
        <v>840.56500000000005</v>
      </c>
      <c r="H43" s="8"/>
      <c r="I43" s="146"/>
      <c r="J43" s="7"/>
      <c r="K43" s="76">
        <v>0.5</v>
      </c>
      <c r="L43" s="100" t="s">
        <v>108</v>
      </c>
    </row>
    <row r="44" spans="1:12" x14ac:dyDescent="0.2">
      <c r="A44" s="4" t="s">
        <v>46</v>
      </c>
      <c r="B44" s="120" t="s">
        <v>128</v>
      </c>
      <c r="C44" s="4" t="s">
        <v>129</v>
      </c>
      <c r="D44" s="114" t="s">
        <v>11</v>
      </c>
      <c r="E44" s="118">
        <v>10</v>
      </c>
      <c r="F44" s="133">
        <v>75.510000000000005</v>
      </c>
      <c r="G44" s="116">
        <f t="shared" si="0"/>
        <v>755.1</v>
      </c>
      <c r="H44" s="118"/>
      <c r="I44" s="118"/>
      <c r="J44" s="4"/>
      <c r="K44" s="119">
        <v>1.5</v>
      </c>
      <c r="L44" s="129" t="s">
        <v>108</v>
      </c>
    </row>
    <row r="45" spans="1:12" x14ac:dyDescent="0.2">
      <c r="A45" s="7" t="s">
        <v>46</v>
      </c>
      <c r="B45" s="9" t="s">
        <v>47</v>
      </c>
      <c r="C45" s="7" t="s">
        <v>109</v>
      </c>
      <c r="D45" s="74" t="s">
        <v>11</v>
      </c>
      <c r="E45" s="8">
        <v>10.7</v>
      </c>
      <c r="F45" s="82">
        <v>175.64</v>
      </c>
      <c r="G45" s="75">
        <f t="shared" si="0"/>
        <v>1879.3479999999997</v>
      </c>
      <c r="H45" s="8">
        <v>130</v>
      </c>
      <c r="I45" s="8"/>
      <c r="J45" s="7"/>
      <c r="K45" s="76">
        <v>1</v>
      </c>
      <c r="L45" s="99"/>
    </row>
    <row r="46" spans="1:12" x14ac:dyDescent="0.2">
      <c r="A46" s="4" t="s">
        <v>46</v>
      </c>
      <c r="B46" s="10" t="s">
        <v>155</v>
      </c>
      <c r="C46" s="4" t="s">
        <v>156</v>
      </c>
      <c r="D46" s="114" t="s">
        <v>11</v>
      </c>
      <c r="E46" s="118">
        <v>9.5</v>
      </c>
      <c r="F46" s="133">
        <v>18.54</v>
      </c>
      <c r="G46" s="116">
        <f>+F46*E46</f>
        <v>176.13</v>
      </c>
      <c r="H46" s="118"/>
      <c r="I46" s="118"/>
      <c r="J46" s="4"/>
      <c r="K46" s="119">
        <v>1</v>
      </c>
      <c r="L46" s="129" t="s">
        <v>161</v>
      </c>
    </row>
    <row r="47" spans="1:12" ht="17" thickBot="1" x14ac:dyDescent="0.25">
      <c r="A47" s="19"/>
      <c r="B47" s="101"/>
      <c r="C47" s="19"/>
      <c r="D47" s="102"/>
      <c r="E47" s="103">
        <f>AVERAGE(E6:E46)-E23</f>
        <v>9.6074999999999982</v>
      </c>
      <c r="F47" s="104">
        <f>SUM(F6:F46)-F23</f>
        <v>3686.37</v>
      </c>
      <c r="G47" s="105">
        <f>SUM(G24:G46)-G23</f>
        <v>21182.862999999998</v>
      </c>
      <c r="H47" s="105">
        <f>SUM(H24:H46)</f>
        <v>500</v>
      </c>
      <c r="I47" s="106">
        <f>SUM(I27:I29)</f>
        <v>220.73749999999995</v>
      </c>
      <c r="J47" s="19"/>
      <c r="K47" s="107"/>
      <c r="L47" s="19"/>
    </row>
    <row r="48" spans="1:12" ht="17" thickTop="1" x14ac:dyDescent="0.2"/>
  </sheetData>
  <mergeCells count="1">
    <mergeCell ref="A1:I2"/>
  </mergeCells>
  <phoneticPr fontId="22" type="noConversion"/>
  <printOptions gridLines="1"/>
  <pageMargins left="0.74803149606299213" right="0.74803149606299213" top="0.98425196850393704" bottom="0.98425196850393704" header="0.31496062992125984" footer="0.31496062992125984"/>
  <pageSetup paperSize="9" scale="71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9"/>
  <sheetViews>
    <sheetView tabSelected="1" topLeftCell="A5" workbookViewId="0">
      <selection activeCell="E15" sqref="E15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11" t="s">
        <v>172</v>
      </c>
      <c r="B7" s="111"/>
      <c r="C7" s="111"/>
      <c r="D7" s="111"/>
      <c r="E7" s="111"/>
      <c r="F7" s="111"/>
      <c r="G7" s="111"/>
      <c r="H7" s="111"/>
      <c r="I7" s="111"/>
    </row>
    <row r="8" spans="1:9" x14ac:dyDescent="0.2">
      <c r="A8" s="111"/>
      <c r="B8" s="111"/>
      <c r="C8" s="111"/>
      <c r="D8" s="111"/>
      <c r="E8" s="111"/>
      <c r="F8" s="111"/>
      <c r="G8" s="111"/>
      <c r="H8" s="111"/>
      <c r="I8" s="111"/>
    </row>
    <row r="9" spans="1:9" x14ac:dyDescent="0.2">
      <c r="A9" s="10"/>
      <c r="E9" s="25"/>
      <c r="F9" s="14"/>
    </row>
    <row r="12" spans="1:9" x14ac:dyDescent="0.2">
      <c r="C12" s="20"/>
    </row>
    <row r="13" spans="1:9" x14ac:dyDescent="0.2">
      <c r="B13" s="22"/>
      <c r="C13" s="24" t="s">
        <v>19</v>
      </c>
    </row>
    <row r="14" spans="1:9" x14ac:dyDescent="0.2">
      <c r="B14" s="10" t="s">
        <v>8</v>
      </c>
      <c r="C14" s="18">
        <f>'FOH &amp; BOH'!G47</f>
        <v>21182.862999999998</v>
      </c>
    </row>
    <row r="15" spans="1:9" x14ac:dyDescent="0.2">
      <c r="B15" s="10" t="s">
        <v>134</v>
      </c>
      <c r="C15" s="18">
        <f>'FOH &amp; BOH'!H47</f>
        <v>500</v>
      </c>
    </row>
    <row r="16" spans="1:9" x14ac:dyDescent="0.2">
      <c r="B16" s="10" t="s">
        <v>18</v>
      </c>
      <c r="C16" s="18">
        <f>'FOH &amp; BOH'!I47</f>
        <v>220.73749999999995</v>
      </c>
      <c r="E16" s="26"/>
    </row>
    <row r="17" spans="2:3" x14ac:dyDescent="0.2">
      <c r="B17" s="10" t="s">
        <v>17</v>
      </c>
      <c r="C17" s="18">
        <f>'HOLIDAYS AND NOTES'!F10</f>
        <v>2616</v>
      </c>
    </row>
    <row r="18" spans="2:3" ht="17" thickBot="1" x14ac:dyDescent="0.25">
      <c r="B18" s="19" t="s">
        <v>20</v>
      </c>
      <c r="C18" s="98">
        <f>SUM(C14:C17)</f>
        <v>24519.600499999997</v>
      </c>
    </row>
    <row r="19" spans="2:3" ht="17" thickTop="1" x14ac:dyDescent="0.2"/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2"/>
  <sheetViews>
    <sheetView workbookViewId="0">
      <selection activeCell="F9" sqref="F9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255" width="11" style="2" customWidth="1"/>
    <col min="256" max="16384" width="8.83203125" style="2"/>
  </cols>
  <sheetData>
    <row r="1" spans="1:9" x14ac:dyDescent="0.2">
      <c r="C1" s="2" t="str">
        <f>+SUMMARY!A7</f>
        <v>PAYROLL 26rd Sept- 23UGLY DUMPLING  TEAM</v>
      </c>
    </row>
    <row r="3" spans="1:9" x14ac:dyDescent="0.2">
      <c r="A3" s="112" t="s">
        <v>6</v>
      </c>
      <c r="B3" s="112"/>
      <c r="C3" s="112"/>
      <c r="D3" s="112"/>
      <c r="E3" s="112"/>
      <c r="F3" s="112"/>
      <c r="G3" s="112"/>
    </row>
    <row r="4" spans="1:9" ht="24" x14ac:dyDescent="0.3">
      <c r="A4" s="113"/>
      <c r="B4" s="113"/>
      <c r="C4" s="113"/>
      <c r="D4" s="113"/>
      <c r="E4" s="113"/>
      <c r="F4" s="113"/>
      <c r="G4" s="113"/>
    </row>
    <row r="5" spans="1:9" x14ac:dyDescent="0.2">
      <c r="A5" s="92" t="s">
        <v>1</v>
      </c>
      <c r="B5" s="92" t="s">
        <v>2</v>
      </c>
      <c r="C5" s="92" t="s">
        <v>3</v>
      </c>
      <c r="D5" s="92" t="s">
        <v>4</v>
      </c>
      <c r="E5" s="92" t="s">
        <v>5</v>
      </c>
      <c r="F5" s="92" t="s">
        <v>7</v>
      </c>
      <c r="G5" s="92" t="s">
        <v>96</v>
      </c>
    </row>
    <row r="6" spans="1:9" x14ac:dyDescent="0.2">
      <c r="A6" s="23" t="s">
        <v>135</v>
      </c>
      <c r="B6" s="11"/>
      <c r="C6" s="11"/>
      <c r="D6" s="89">
        <v>10</v>
      </c>
      <c r="E6" s="21">
        <f>15*8</f>
        <v>120</v>
      </c>
      <c r="F6" s="90">
        <f>D6*E6</f>
        <v>1200</v>
      </c>
      <c r="G6" s="11" t="s">
        <v>158</v>
      </c>
    </row>
    <row r="7" spans="1:9" x14ac:dyDescent="0.2">
      <c r="A7" s="93" t="s">
        <v>169</v>
      </c>
      <c r="B7" s="94"/>
      <c r="C7" s="94"/>
      <c r="D7" s="95">
        <v>9</v>
      </c>
      <c r="E7" s="96">
        <f>7*8</f>
        <v>56</v>
      </c>
      <c r="F7" s="97">
        <f>+D7*E7</f>
        <v>504</v>
      </c>
      <c r="G7" s="94"/>
    </row>
    <row r="8" spans="1:9" x14ac:dyDescent="0.2">
      <c r="A8" s="23" t="s">
        <v>170</v>
      </c>
      <c r="B8" s="11"/>
      <c r="C8" s="11"/>
      <c r="D8" s="89">
        <v>9.5</v>
      </c>
      <c r="E8" s="21">
        <f>12*8</f>
        <v>96</v>
      </c>
      <c r="F8" s="90">
        <f>+E8*D8</f>
        <v>912</v>
      </c>
      <c r="G8" s="11"/>
    </row>
    <row r="9" spans="1:9" x14ac:dyDescent="0.2">
      <c r="A9" s="93"/>
      <c r="B9" s="94"/>
      <c r="C9" s="94"/>
      <c r="D9" s="95"/>
      <c r="E9" s="96"/>
      <c r="F9" s="97"/>
      <c r="G9" s="94"/>
    </row>
    <row r="10" spans="1:9" ht="17" thickBot="1" x14ac:dyDescent="0.25">
      <c r="A10" s="5" t="s">
        <v>7</v>
      </c>
      <c r="B10" s="6"/>
      <c r="C10" s="6"/>
      <c r="D10" s="6"/>
      <c r="E10" s="6"/>
      <c r="F10" s="12">
        <f>+SUM(F6:F9)</f>
        <v>2616</v>
      </c>
      <c r="G10" s="91"/>
    </row>
    <row r="11" spans="1:9" ht="17" thickTop="1" x14ac:dyDescent="0.2">
      <c r="A11" s="15"/>
      <c r="B11" s="13"/>
      <c r="C11" s="13"/>
      <c r="D11" s="13"/>
      <c r="E11" s="13"/>
      <c r="F11" s="16"/>
      <c r="G11" s="3"/>
    </row>
    <row r="12" spans="1:9" x14ac:dyDescent="0.2">
      <c r="A12" s="112"/>
      <c r="B12" s="112"/>
      <c r="C12" s="112"/>
      <c r="D12" s="112"/>
      <c r="E12" s="112"/>
      <c r="F12" s="112"/>
      <c r="G12" s="112"/>
      <c r="H12" s="4"/>
      <c r="I12" s="3"/>
    </row>
  </sheetData>
  <mergeCells count="3">
    <mergeCell ref="A12:G12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topLeftCell="A2" zoomScale="120" zoomScaleNormal="120" workbookViewId="0">
      <selection activeCell="G16" sqref="G16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26rd Sept- 23UGLY DUMPLING  TEAM</v>
      </c>
    </row>
    <row r="2" spans="1:12" x14ac:dyDescent="0.2">
      <c r="A2" s="27" t="s">
        <v>14</v>
      </c>
      <c r="B2" s="27"/>
    </row>
    <row r="4" spans="1:12" x14ac:dyDescent="0.2">
      <c r="A4" s="44"/>
      <c r="B4" s="45"/>
      <c r="C4" s="46"/>
      <c r="D4" s="46"/>
      <c r="E4" s="46"/>
      <c r="F4" s="46"/>
      <c r="G4" s="46"/>
      <c r="H4" s="46"/>
      <c r="I4" s="46"/>
      <c r="J4" s="46"/>
      <c r="K4" s="46"/>
      <c r="L4" s="47"/>
    </row>
    <row r="5" spans="1:12" x14ac:dyDescent="0.2">
      <c r="A5" s="44"/>
      <c r="B5" s="45"/>
      <c r="C5" s="46"/>
      <c r="D5" s="46"/>
      <c r="E5" s="46"/>
      <c r="F5" s="46"/>
      <c r="G5" s="46"/>
      <c r="H5" s="46"/>
      <c r="I5" s="46"/>
      <c r="J5" s="46"/>
      <c r="K5" s="46"/>
      <c r="L5" s="47"/>
    </row>
    <row r="6" spans="1:12" x14ac:dyDescent="0.2">
      <c r="A6" s="44"/>
      <c r="B6" s="45"/>
      <c r="C6" s="46"/>
      <c r="D6" s="46"/>
      <c r="E6" s="46"/>
      <c r="F6" s="46"/>
      <c r="G6" s="46"/>
      <c r="H6" s="46"/>
      <c r="I6" s="46"/>
      <c r="J6" s="46"/>
      <c r="K6" s="46"/>
      <c r="L6" s="47"/>
    </row>
    <row r="7" spans="1:12" x14ac:dyDescent="0.2">
      <c r="A7" s="44"/>
      <c r="B7" s="46"/>
      <c r="C7" s="46"/>
      <c r="D7" s="46"/>
      <c r="E7" s="46"/>
      <c r="F7" s="46"/>
      <c r="G7" s="46"/>
      <c r="H7" s="46"/>
      <c r="I7" s="46"/>
      <c r="J7" s="46"/>
      <c r="K7" s="46"/>
      <c r="L7" s="47"/>
    </row>
    <row r="8" spans="1:12" x14ac:dyDescent="0.2">
      <c r="A8" s="44"/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2">
      <c r="A9" s="44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2">
      <c r="A10" s="44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s="50" customFormat="1" ht="19" x14ac:dyDescent="0.25">
      <c r="A11" s="48"/>
      <c r="B11" s="62" t="s">
        <v>107</v>
      </c>
      <c r="C11" s="62" t="s">
        <v>93</v>
      </c>
      <c r="D11" s="62"/>
      <c r="E11" s="62" t="s">
        <v>145</v>
      </c>
      <c r="F11" s="62" t="s">
        <v>22</v>
      </c>
      <c r="G11" s="62" t="s">
        <v>23</v>
      </c>
      <c r="H11" s="62" t="s">
        <v>100</v>
      </c>
      <c r="I11" s="62" t="s">
        <v>35</v>
      </c>
      <c r="J11" s="62" t="s">
        <v>48</v>
      </c>
      <c r="K11" s="62" t="s">
        <v>92</v>
      </c>
      <c r="L11" s="49"/>
    </row>
    <row r="12" spans="1:12" x14ac:dyDescent="0.2">
      <c r="A12" s="51"/>
      <c r="B12" s="69" t="s">
        <v>151</v>
      </c>
      <c r="C12" s="52" t="s">
        <v>148</v>
      </c>
      <c r="D12" s="52"/>
      <c r="E12" s="61" t="s">
        <v>149</v>
      </c>
      <c r="F12" s="53" t="s">
        <v>150</v>
      </c>
      <c r="G12" s="54"/>
      <c r="H12" s="55"/>
      <c r="I12" s="36"/>
      <c r="J12" s="36"/>
      <c r="K12" s="36"/>
      <c r="L12" s="56"/>
    </row>
    <row r="13" spans="1:12" x14ac:dyDescent="0.2">
      <c r="A13" s="51"/>
      <c r="B13" s="71" t="s">
        <v>143</v>
      </c>
      <c r="C13" s="39" t="s">
        <v>144</v>
      </c>
      <c r="D13" s="39"/>
      <c r="E13" s="43" t="s">
        <v>146</v>
      </c>
      <c r="F13" s="42" t="s">
        <v>147</v>
      </c>
      <c r="G13" s="40"/>
      <c r="H13" s="41"/>
      <c r="I13" s="37"/>
      <c r="J13" s="37"/>
      <c r="K13" s="37"/>
      <c r="L13" s="56"/>
    </row>
    <row r="14" spans="1:12" x14ac:dyDescent="0.2">
      <c r="A14" s="51"/>
      <c r="B14" s="69" t="s">
        <v>152</v>
      </c>
      <c r="C14" s="52" t="s">
        <v>153</v>
      </c>
      <c r="D14" s="52"/>
      <c r="E14" s="58" t="s">
        <v>165</v>
      </c>
      <c r="F14" s="57" t="s">
        <v>147</v>
      </c>
      <c r="G14" s="54" t="s">
        <v>167</v>
      </c>
      <c r="H14" s="55"/>
      <c r="I14" s="36"/>
      <c r="J14" s="36"/>
      <c r="K14" s="36" t="s">
        <v>166</v>
      </c>
      <c r="L14" s="56"/>
    </row>
    <row r="15" spans="1:12" x14ac:dyDescent="0.2">
      <c r="A15" s="51"/>
      <c r="B15" s="71"/>
      <c r="C15" s="39"/>
      <c r="D15" s="39"/>
      <c r="E15" s="43"/>
      <c r="F15" s="42"/>
      <c r="G15" s="40"/>
      <c r="H15" s="41"/>
      <c r="I15" s="37"/>
      <c r="J15" s="37"/>
      <c r="K15" s="37"/>
      <c r="L15" s="56"/>
    </row>
    <row r="16" spans="1:12" x14ac:dyDescent="0.2">
      <c r="A16" s="51"/>
      <c r="B16" s="69"/>
      <c r="D16" s="52"/>
      <c r="E16" s="55"/>
      <c r="F16" s="65"/>
      <c r="G16" s="54"/>
      <c r="H16" s="55"/>
      <c r="I16" s="36"/>
      <c r="J16" s="36"/>
      <c r="K16" s="36"/>
      <c r="L16" s="56"/>
    </row>
    <row r="17" spans="1:12" x14ac:dyDescent="0.2">
      <c r="A17" s="44"/>
      <c r="B17" s="71"/>
      <c r="C17" s="39"/>
      <c r="D17" s="39"/>
      <c r="E17" s="43"/>
      <c r="F17" s="42"/>
      <c r="G17" s="40"/>
      <c r="H17" s="41"/>
      <c r="I17" s="37"/>
      <c r="J17" s="37"/>
      <c r="K17" s="37"/>
      <c r="L17" s="56"/>
    </row>
    <row r="18" spans="1:12" x14ac:dyDescent="0.2">
      <c r="A18" s="46"/>
      <c r="B18" s="69"/>
      <c r="C18" s="52"/>
      <c r="D18" s="60"/>
      <c r="E18" s="61"/>
      <c r="F18" s="53"/>
      <c r="G18" s="54"/>
      <c r="H18" s="55"/>
      <c r="I18" s="36"/>
      <c r="J18" s="68"/>
      <c r="K18" s="36"/>
      <c r="L18" s="56"/>
    </row>
    <row r="19" spans="1:12" x14ac:dyDescent="0.2">
      <c r="A19" s="44"/>
      <c r="B19" s="71"/>
      <c r="C19" s="39"/>
      <c r="D19" s="39"/>
      <c r="E19" s="43"/>
      <c r="F19" s="42"/>
      <c r="G19" s="40"/>
      <c r="H19" s="37"/>
      <c r="I19" s="37"/>
      <c r="J19" s="37"/>
      <c r="K19" s="37"/>
      <c r="L19" s="56"/>
    </row>
    <row r="20" spans="1:12" x14ac:dyDescent="0.2">
      <c r="A20" s="44"/>
      <c r="B20" s="69"/>
      <c r="C20" s="52"/>
      <c r="D20" s="52"/>
      <c r="E20" s="58"/>
      <c r="F20" s="57"/>
      <c r="G20" s="54"/>
      <c r="H20" s="36"/>
      <c r="I20" s="36"/>
      <c r="J20" s="36"/>
      <c r="K20" s="36"/>
      <c r="L20" s="56"/>
    </row>
    <row r="21" spans="1:12" x14ac:dyDescent="0.2">
      <c r="A21" s="46"/>
      <c r="B21" s="71"/>
      <c r="C21" s="39"/>
      <c r="D21" s="39"/>
      <c r="E21" s="43"/>
      <c r="F21" s="42"/>
      <c r="G21" s="1"/>
      <c r="H21" s="37"/>
      <c r="I21" s="37"/>
      <c r="J21" s="37"/>
      <c r="K21" s="37"/>
      <c r="L21" s="36"/>
    </row>
    <row r="22" spans="1:12" x14ac:dyDescent="0.2">
      <c r="A22" s="46"/>
      <c r="B22" s="69"/>
      <c r="C22" s="46"/>
      <c r="D22" s="46"/>
      <c r="E22" s="66"/>
      <c r="F22" s="67"/>
      <c r="H22" s="46"/>
      <c r="I22" s="46"/>
      <c r="J22" s="46"/>
      <c r="K22" s="46"/>
      <c r="L22" s="46"/>
    </row>
    <row r="23" spans="1:12" x14ac:dyDescent="0.2">
      <c r="B23" s="72"/>
      <c r="C23" s="17"/>
      <c r="D23" s="17"/>
      <c r="E23" s="73"/>
      <c r="F23" s="73"/>
      <c r="G23" s="17"/>
      <c r="H23" s="17"/>
      <c r="I23" s="17"/>
      <c r="J23" s="17"/>
      <c r="K23" s="17"/>
    </row>
    <row r="24" spans="1:12" x14ac:dyDescent="0.2">
      <c r="B24" s="70"/>
      <c r="E24" s="59"/>
      <c r="F24" s="65"/>
    </row>
    <row r="25" spans="1:12" x14ac:dyDescent="0.2">
      <c r="B25" s="72"/>
      <c r="C25" s="17"/>
      <c r="D25" s="17"/>
      <c r="E25" s="73"/>
      <c r="F25" s="73"/>
      <c r="G25" s="17"/>
      <c r="H25" s="17"/>
      <c r="I25" s="17"/>
      <c r="J25" s="17"/>
      <c r="K25" s="17"/>
    </row>
    <row r="26" spans="1:12" x14ac:dyDescent="0.2">
      <c r="B26" s="70"/>
      <c r="E26" s="65"/>
      <c r="F26" s="65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16"/>
  <sheetViews>
    <sheetView topLeftCell="A2" workbookViewId="0">
      <selection activeCell="B20" sqref="B20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8.6640625" style="2" bestFit="1" customWidth="1"/>
    <col min="7" max="7" width="16.33203125" style="2" bestFit="1" customWidth="1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6" style="2" bestFit="1" customWidth="1"/>
    <col min="13" max="16384" width="10.83203125" style="2"/>
  </cols>
  <sheetData>
    <row r="6" spans="1:12" x14ac:dyDescent="0.2">
      <c r="C6" s="2" t="s">
        <v>72</v>
      </c>
      <c r="D6" s="2" t="s">
        <v>64</v>
      </c>
      <c r="E6" s="2" t="s">
        <v>73</v>
      </c>
      <c r="F6" s="2" t="s">
        <v>76</v>
      </c>
      <c r="G6" s="2" t="s">
        <v>74</v>
      </c>
      <c r="I6" s="2" t="s">
        <v>75</v>
      </c>
      <c r="J6" s="2" t="s">
        <v>67</v>
      </c>
      <c r="K6" s="2" t="s">
        <v>95</v>
      </c>
      <c r="L6" s="2" t="s">
        <v>81</v>
      </c>
    </row>
    <row r="7" spans="1:12" x14ac:dyDescent="0.2">
      <c r="B7" s="2" t="s">
        <v>62</v>
      </c>
      <c r="C7" s="2">
        <v>180.46</v>
      </c>
      <c r="D7" s="2">
        <f>90*70</f>
        <v>6300</v>
      </c>
      <c r="E7" s="2">
        <v>15693</v>
      </c>
      <c r="F7" s="2">
        <f>E7-D7</f>
        <v>9393</v>
      </c>
      <c r="G7" s="2">
        <f>C7-B14</f>
        <v>100.46000000000001</v>
      </c>
      <c r="H7" s="2">
        <f>G7*$B$12</f>
        <v>7534.5000000000009</v>
      </c>
      <c r="I7" s="2">
        <f>F7-H7</f>
        <v>1858.4999999999991</v>
      </c>
      <c r="J7" s="34">
        <f>I7*$B$11</f>
        <v>92.924999999999955</v>
      </c>
      <c r="K7" s="63">
        <f>J7/G7</f>
        <v>0.92499502289468394</v>
      </c>
      <c r="L7" s="38">
        <f>C7-B14</f>
        <v>100.46000000000001</v>
      </c>
    </row>
    <row r="8" spans="1:12" ht="17" customHeight="1" x14ac:dyDescent="0.2">
      <c r="B8" s="2" t="s">
        <v>63</v>
      </c>
      <c r="C8" s="2">
        <v>102.37</v>
      </c>
      <c r="D8" s="2">
        <f>$B$13*B15</f>
        <v>2700</v>
      </c>
      <c r="E8" s="2">
        <v>8684</v>
      </c>
      <c r="F8" s="2">
        <f t="shared" ref="F8" si="0">E8-D8</f>
        <v>5984</v>
      </c>
      <c r="G8" s="2">
        <f>C8-B15</f>
        <v>72.37</v>
      </c>
      <c r="H8" s="2">
        <f>G8*$B$12</f>
        <v>5427.75</v>
      </c>
      <c r="I8" s="2">
        <f>F8-H8</f>
        <v>556.25</v>
      </c>
      <c r="J8" s="34">
        <f>I8*$B$11</f>
        <v>27.8125</v>
      </c>
      <c r="K8" s="64">
        <f t="shared" ref="K8" si="1">J8/G8</f>
        <v>0.38430979687715899</v>
      </c>
      <c r="L8" s="38">
        <f>C8-B15</f>
        <v>72.37</v>
      </c>
    </row>
    <row r="10" spans="1:12" x14ac:dyDescent="0.2">
      <c r="A10" s="2" t="s">
        <v>68</v>
      </c>
    </row>
    <row r="11" spans="1:12" x14ac:dyDescent="0.2">
      <c r="A11" s="2" t="s">
        <v>69</v>
      </c>
      <c r="B11" s="2">
        <v>0.05</v>
      </c>
    </row>
    <row r="12" spans="1:12" x14ac:dyDescent="0.2">
      <c r="A12" s="2" t="s">
        <v>70</v>
      </c>
      <c r="B12" s="2">
        <v>75</v>
      </c>
    </row>
    <row r="13" spans="1:12" x14ac:dyDescent="0.2">
      <c r="A13" s="2" t="s">
        <v>71</v>
      </c>
      <c r="B13" s="2">
        <v>90</v>
      </c>
    </row>
    <row r="14" spans="1:12" x14ac:dyDescent="0.2">
      <c r="A14" s="27" t="s">
        <v>66</v>
      </c>
      <c r="B14" s="2">
        <v>80</v>
      </c>
      <c r="C14" s="2" t="s">
        <v>154</v>
      </c>
    </row>
    <row r="15" spans="1:12" x14ac:dyDescent="0.2">
      <c r="A15" s="27" t="s">
        <v>65</v>
      </c>
      <c r="B15" s="2">
        <v>30</v>
      </c>
    </row>
    <row r="16" spans="1:12" x14ac:dyDescent="0.2">
      <c r="A16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FOH &amp; BOH</vt:lpstr>
      <vt:lpstr>SUMMARY</vt:lpstr>
      <vt:lpstr>HOLIDAYS AND NOTES</vt:lpstr>
      <vt:lpstr>STARTERS DETAILS </vt:lpstr>
      <vt:lpstr>Dumpling Bonus </vt:lpstr>
      <vt:lpstr>'FOH &amp; BOH'!Print_Area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2022-10-24T11:05:25Z</dcterms:modified>
</cp:coreProperties>
</file>