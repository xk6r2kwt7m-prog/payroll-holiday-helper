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6740994F-EE92-2D49-A256-136318801BCF}" xr6:coauthVersionLast="47" xr6:coauthVersionMax="47" xr10:uidLastSave="{00000000-0000-0000-0000-000000000000}"/>
  <bookViews>
    <workbookView xWindow="1880" yWindow="1100" windowWidth="28800" windowHeight="16440" tabRatio="500" xr2:uid="{00000000-000D-0000-FFFF-FFFF00000000}"/>
  </bookViews>
  <sheets>
    <sheet name="FOH &amp; BOH" sheetId="1" r:id="rId1"/>
    <sheet name="SUMMARY" sheetId="3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0">'FOH &amp; BOH'!$A$5:$G$5</definedName>
    <definedName name="_xlnm.Print_Area" localSheetId="2">'HOLIDAYS AND NOTES'!$A$4:$F$12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6" l="1"/>
  <c r="I29" i="1"/>
  <c r="I28" i="1"/>
  <c r="E8" i="2"/>
  <c r="E7" i="2"/>
  <c r="E6" i="2"/>
  <c r="F51" i="1" l="1"/>
  <c r="E51" i="1"/>
  <c r="G4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51" i="1" s="1"/>
  <c r="C14" i="3" s="1"/>
  <c r="G47" i="1"/>
  <c r="G48" i="1"/>
  <c r="G49" i="1"/>
  <c r="G50" i="1"/>
  <c r="G6" i="1"/>
  <c r="H7" i="6"/>
  <c r="D7" i="6"/>
  <c r="F32" i="1"/>
  <c r="H51" i="1"/>
  <c r="C15" i="3" s="1"/>
  <c r="E9" i="2" l="1"/>
  <c r="D8" i="6" l="1"/>
  <c r="L7" i="6"/>
  <c r="F29" i="1" s="1"/>
  <c r="F7" i="2"/>
  <c r="F8" i="2"/>
  <c r="F9" i="2"/>
  <c r="F6" i="2"/>
  <c r="F7" i="6" l="1"/>
  <c r="I7" i="6" s="1"/>
  <c r="A1" i="1" l="1"/>
  <c r="G7" i="6"/>
  <c r="L8" i="6" l="1"/>
  <c r="F28" i="1" s="1"/>
  <c r="G8" i="6" l="1"/>
  <c r="H8" i="6" s="1"/>
  <c r="F8" i="6"/>
  <c r="I8" i="6" s="1"/>
  <c r="J8" i="6" s="1"/>
  <c r="J7" i="6" l="1"/>
  <c r="I51" i="1" s="1"/>
  <c r="C16" i="3" s="1"/>
  <c r="K8" i="6" l="1"/>
  <c r="K7" i="6" l="1"/>
  <c r="F10" i="2"/>
  <c r="C17" i="3" s="1"/>
  <c r="B1" i="4"/>
  <c r="C1" i="2"/>
  <c r="C18" i="3" l="1"/>
</calcChain>
</file>

<file path=xl/sharedStrings.xml><?xml version="1.0" encoding="utf-8"?>
<sst xmlns="http://schemas.openxmlformats.org/spreadsheetml/2006/main" count="291" uniqueCount="197">
  <si>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</si>
  <si>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</si>
  <si>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</si>
  <si>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</si>
  <si>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</si>
  <si>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</si>
  <si>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</si>
  <si>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</si>
  <si>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</si>
  <si>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</si>
  <si>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</si>
  <si>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</si>
  <si>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</si>
  <si>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</si>
  <si>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</si>
  <si>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</si>
  <si>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</si>
  <si>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</si>
  <si>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</si>
  <si>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</si>
  <si>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</si>
  <si>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</si>
  <si>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</si>
  <si>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>Bank Account</t>
  </si>
  <si>
    <t xml:space="preserve">Nationality </t>
  </si>
  <si>
    <t xml:space="preserve">Jean Carlos </t>
  </si>
  <si>
    <t>Garcia Gonzalez</t>
  </si>
  <si>
    <t>Melanny Salome</t>
  </si>
  <si>
    <t>Folleco Chala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</si>
  <si>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</si>
  <si>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</si>
  <si>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</si>
  <si>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</si>
  <si>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</si>
  <si>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</si>
  <si>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</si>
  <si>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</si>
  <si>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</si>
  <si>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</si>
  <si>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</si>
  <si>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</si>
  <si>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</si>
  <si>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</si>
  <si>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</si>
  <si>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</si>
  <si>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</si>
  <si>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</si>
  <si>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</si>
  <si>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</si>
  <si>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</si>
  <si>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</si>
  <si>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</si>
  <si>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</si>
  <si>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</si>
  <si>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</si>
  <si>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</si>
  <si>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</si>
  <si>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</si>
  <si>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</si>
  <si>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</si>
  <si>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</si>
  <si>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</si>
  <si>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</si>
  <si>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</si>
  <si>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</si>
  <si>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</si>
  <si>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</si>
  <si>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</si>
  <si>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</si>
  <si>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</si>
  <si>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</si>
  <si>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</si>
  <si>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</si>
  <si>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</si>
  <si>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</si>
  <si>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</si>
  <si>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</si>
  <si>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</si>
  <si>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Yi</t>
  </si>
  <si>
    <t>Total minus cash ded</t>
  </si>
  <si>
    <t xml:space="preserve">leaver </t>
  </si>
  <si>
    <t xml:space="preserve">Karina </t>
  </si>
  <si>
    <t xml:space="preserve">Kavdanska 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</si>
  <si>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</si>
  <si>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</si>
  <si>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</si>
  <si>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</si>
  <si>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</si>
  <si>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>Rebecca</t>
  </si>
  <si>
    <t>Archibold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</si>
  <si>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</si>
  <si>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</si>
  <si>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</si>
  <si>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</si>
  <si>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</si>
  <si>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</si>
  <si>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</si>
  <si>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</si>
  <si>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>Loh Kai Xuan Tabi</t>
  </si>
  <si>
    <t xml:space="preserve">bonus per hour </t>
  </si>
  <si>
    <t xml:space="preserve">STATUS </t>
  </si>
  <si>
    <t xml:space="preserve">Ass. Manager </t>
  </si>
  <si>
    <t xml:space="preserve">Shania </t>
  </si>
  <si>
    <t>Malcolm</t>
  </si>
  <si>
    <t>09.01.29</t>
  </si>
  <si>
    <t>Passaport nb</t>
  </si>
  <si>
    <t xml:space="preserve">Chala Quilumba </t>
  </si>
  <si>
    <t xml:space="preserve">Matos </t>
  </si>
  <si>
    <t xml:space="preserve">Polireddy </t>
  </si>
  <si>
    <t xml:space="preserve">Olga </t>
  </si>
  <si>
    <t xml:space="preserve">Anny Belkys </t>
  </si>
  <si>
    <t xml:space="preserve">Rajitha </t>
  </si>
  <si>
    <t xml:space="preserve">Jc Marinel </t>
  </si>
  <si>
    <t xml:space="preserve">Navea </t>
  </si>
  <si>
    <t xml:space="preserve">New Startes </t>
  </si>
  <si>
    <t xml:space="preserve">Ciara </t>
  </si>
  <si>
    <t xml:space="preserve">Bates </t>
  </si>
  <si>
    <t xml:space="preserve">Starter </t>
  </si>
  <si>
    <t xml:space="preserve">starter/leaver </t>
  </si>
  <si>
    <t xml:space="preserve">Ramos </t>
  </si>
  <si>
    <t xml:space="preserve">Blean </t>
  </si>
  <si>
    <t xml:space="preserve">Anteneh </t>
  </si>
  <si>
    <t>Hafiz Abdur</t>
  </si>
  <si>
    <t xml:space="preserve">Rahim </t>
  </si>
  <si>
    <t xml:space="preserve">Mei Lin </t>
  </si>
  <si>
    <t xml:space="preserve">Khong </t>
  </si>
  <si>
    <t xml:space="preserve">Setareh </t>
  </si>
  <si>
    <t xml:space="preserve">Saeedfar </t>
  </si>
  <si>
    <t xml:space="preserve">Samira </t>
  </si>
  <si>
    <t xml:space="preserve">Islan </t>
  </si>
  <si>
    <t>PAYROLL 25TH JUNE - 21 JULY 22 UGLY DUMPLING  TEAM</t>
  </si>
  <si>
    <t xml:space="preserve">Hubert Filip Siotor </t>
  </si>
  <si>
    <t>Reyquane Tieye Kendell</t>
  </si>
  <si>
    <t>PK845982C</t>
  </si>
  <si>
    <t>45683963</t>
  </si>
  <si>
    <t>77.04.40</t>
  </si>
  <si>
    <t>Peace  Jasmine Imwensi</t>
  </si>
  <si>
    <t>PK718203D</t>
  </si>
  <si>
    <t>18622987</t>
  </si>
  <si>
    <t>07.08.06</t>
  </si>
  <si>
    <t>Benjamin Gray</t>
  </si>
  <si>
    <t>HN291402C</t>
  </si>
  <si>
    <t>22349502</t>
  </si>
  <si>
    <t>07.04.36</t>
  </si>
  <si>
    <t xml:space="preserve">Endea Stratchan </t>
  </si>
  <si>
    <t>PH099049C</t>
  </si>
  <si>
    <t>Glenn Taniegra</t>
  </si>
  <si>
    <t>SN560166C</t>
  </si>
  <si>
    <t>32192500</t>
  </si>
  <si>
    <t>40.04.00</t>
  </si>
  <si>
    <t>Gabrielle Prah</t>
  </si>
  <si>
    <t>SN100623D</t>
  </si>
  <si>
    <t>04442962</t>
  </si>
  <si>
    <t>11.64.36</t>
  </si>
  <si>
    <t xml:space="preserve">Ria McIntosh Henry </t>
  </si>
  <si>
    <t>JM996211D</t>
  </si>
  <si>
    <t>26546329</t>
  </si>
  <si>
    <t>Adriana Llumiquinga Baca</t>
  </si>
  <si>
    <t>SS276685B</t>
  </si>
  <si>
    <t>28183768</t>
  </si>
  <si>
    <t>77.91.30</t>
  </si>
  <si>
    <t>Lakshmi Vemula</t>
  </si>
  <si>
    <t>NJ749783D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</si>
  <si>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</si>
  <si>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</si>
  <si>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</si>
  <si>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</si>
  <si>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</si>
  <si>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Peace </t>
  </si>
  <si>
    <t>Imwensi</t>
  </si>
  <si>
    <t>Gabrielle</t>
  </si>
  <si>
    <t>Prah</t>
  </si>
  <si>
    <t xml:space="preserve">Hubert </t>
  </si>
  <si>
    <t xml:space="preserve">Siotor </t>
  </si>
  <si>
    <t>FOH&amp;BOH</t>
  </si>
  <si>
    <t>Reyquane</t>
  </si>
  <si>
    <t>Kendell</t>
  </si>
  <si>
    <t xml:space="preserve">Adriana </t>
  </si>
  <si>
    <t xml:space="preserve">Baca </t>
  </si>
  <si>
    <t>Lakshimi</t>
  </si>
  <si>
    <t xml:space="preserve">Vemula </t>
  </si>
  <si>
    <t xml:space="preserve">Ria </t>
  </si>
  <si>
    <t xml:space="preserve">McIntosh Henry </t>
  </si>
  <si>
    <t xml:space="preserve">Glenn </t>
  </si>
  <si>
    <t>Taniegra</t>
  </si>
  <si>
    <t>Starter</t>
  </si>
  <si>
    <t>Holiday</t>
  </si>
  <si>
    <t>pay rise £9</t>
  </si>
  <si>
    <t>Pay rise  £9.5</t>
  </si>
  <si>
    <t>pay rise £10.7</t>
  </si>
  <si>
    <t xml:space="preserve">INCENTIVES </t>
  </si>
  <si>
    <t xml:space="preserve">Salome </t>
  </si>
  <si>
    <t>pay rise  £9</t>
  </si>
  <si>
    <t xml:space="preserve">LEAVER </t>
  </si>
  <si>
    <t>Kitchen Ass. manager</t>
  </si>
  <si>
    <t>Market</t>
  </si>
  <si>
    <t xml:space="preserve">Month sick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</si>
</sst>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_);[Red]\(&quot;£&quot;#,##0\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b/>
      <sz val="10"/>
      <color theme="5" tint="0.59999389629810485"/>
      <name val="Calibri Light"/>
      <family val="2"/>
      <scheme val="maj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2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2" fillId="2" borderId="0" xfId="0" applyNumberFormat="1" applyFont="1" applyFill="1"/>
    <xf numFmtId="0" fontId="13" fillId="2" borderId="1" xfId="0" applyFont="1" applyFill="1" applyBorder="1"/>
    <xf numFmtId="9" fontId="15" fillId="2" borderId="0" xfId="79" applyFont="1" applyFill="1"/>
    <xf numFmtId="0" fontId="11" fillId="2" borderId="0" xfId="0" applyFont="1" applyFill="1" applyBorder="1" applyAlignment="1">
      <alignment horizontal="center" vertical="center"/>
    </xf>
    <xf numFmtId="0" fontId="12" fillId="4" borderId="2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2" fillId="2" borderId="0" xfId="0" applyFont="1" applyFill="1"/>
    <xf numFmtId="0" fontId="2" fillId="2" borderId="0" xfId="0" applyFont="1" applyFill="1" applyBorder="1"/>
    <xf numFmtId="164" fontId="7" fillId="2" borderId="0" xfId="78" applyFont="1" applyFill="1"/>
    <xf numFmtId="0" fontId="17" fillId="2" borderId="0" xfId="0" applyFont="1" applyFill="1"/>
    <xf numFmtId="165" fontId="7" fillId="2" borderId="0" xfId="0" applyNumberFormat="1" applyFont="1" applyFill="1"/>
    <xf numFmtId="0" fontId="10" fillId="2" borderId="0" xfId="0" applyFont="1" applyFill="1"/>
    <xf numFmtId="0" fontId="18" fillId="2" borderId="0" xfId="0" applyFont="1" applyFill="1"/>
    <xf numFmtId="165" fontId="2" fillId="2" borderId="0" xfId="0" applyNumberFormat="1" applyFont="1" applyFill="1"/>
    <xf numFmtId="0" fontId="21" fillId="2" borderId="2" xfId="0" applyFont="1" applyFill="1" applyBorder="1" applyAlignment="1">
      <alignment horizontal="left" vertical="center"/>
    </xf>
    <xf numFmtId="0" fontId="24" fillId="2" borderId="0" xfId="0" applyFont="1" applyFill="1" applyBorder="1"/>
    <xf numFmtId="0" fontId="24" fillId="3" borderId="0" xfId="0" applyFont="1" applyFill="1" applyBorder="1"/>
    <xf numFmtId="0" fontId="15" fillId="2" borderId="0" xfId="0" applyFont="1" applyFill="1"/>
    <xf numFmtId="0" fontId="24" fillId="3" borderId="0" xfId="0" applyFont="1" applyFill="1" applyBorder="1" applyAlignment="1"/>
    <xf numFmtId="1" fontId="24" fillId="3" borderId="0" xfId="0" applyNumberFormat="1" applyFont="1" applyFill="1" applyBorder="1" applyAlignment="1"/>
    <xf numFmtId="0" fontId="24" fillId="3" borderId="0" xfId="0" applyFont="1" applyFill="1" applyBorder="1" applyAlignment="1">
      <alignment horizontal="left"/>
    </xf>
    <xf numFmtId="1" fontId="24" fillId="3" borderId="0" xfId="0" applyNumberFormat="1" applyFont="1" applyFill="1" applyBorder="1" applyAlignment="1">
      <alignment horizontal="left"/>
    </xf>
    <xf numFmtId="49" fontId="24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9" fillId="2" borderId="3" xfId="0" applyFont="1" applyFill="1" applyBorder="1"/>
    <xf numFmtId="0" fontId="20" fillId="2" borderId="0" xfId="0" applyFont="1" applyFill="1" applyBorder="1"/>
    <xf numFmtId="0" fontId="19" fillId="2" borderId="0" xfId="0" applyFont="1" applyFill="1"/>
    <xf numFmtId="0" fontId="2" fillId="2" borderId="3" xfId="0" applyFont="1" applyFill="1" applyBorder="1"/>
    <xf numFmtId="0" fontId="24" fillId="2" borderId="0" xfId="0" applyFont="1" applyFill="1" applyBorder="1" applyAlignment="1"/>
    <xf numFmtId="1" fontId="24" fillId="2" borderId="0" xfId="0" applyNumberFormat="1" applyFont="1" applyFill="1" applyAlignment="1">
      <alignment horizontal="left"/>
    </xf>
    <xf numFmtId="1" fontId="24" fillId="2" borderId="0" xfId="0" applyNumberFormat="1" applyFont="1" applyFill="1" applyBorder="1" applyAlignment="1"/>
    <xf numFmtId="0" fontId="24" fillId="2" borderId="0" xfId="0" applyFont="1" applyFill="1" applyBorder="1" applyAlignment="1">
      <alignment horizontal="left"/>
    </xf>
    <xf numFmtId="0" fontId="24" fillId="2" borderId="4" xfId="0" applyFont="1" applyFill="1" applyBorder="1"/>
    <xf numFmtId="1" fontId="24" fillId="2" borderId="0" xfId="0" applyNumberFormat="1" applyFont="1" applyFill="1" applyBorder="1" applyAlignment="1">
      <alignment horizontal="left"/>
    </xf>
    <xf numFmtId="49" fontId="24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4" fillId="2" borderId="0" xfId="0" applyFont="1" applyFill="1" applyAlignment="1"/>
    <xf numFmtId="49" fontId="24" fillId="2" borderId="0" xfId="0" applyNumberFormat="1" applyFont="1" applyFill="1" applyAlignment="1">
      <alignment horizontal="left"/>
    </xf>
    <xf numFmtId="0" fontId="20" fillId="2" borderId="2" xfId="0" applyFont="1" applyFill="1" applyBorder="1"/>
    <xf numFmtId="165" fontId="0" fillId="2" borderId="0" xfId="0" applyNumberFormat="1" applyFill="1"/>
    <xf numFmtId="165" fontId="15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4" fillId="2" borderId="0" xfId="0" applyNumberFormat="1" applyFont="1" applyFill="1" applyBorder="1"/>
    <xf numFmtId="0" fontId="26" fillId="2" borderId="0" xfId="0" applyFont="1" applyFill="1" applyBorder="1"/>
    <xf numFmtId="0" fontId="26" fillId="2" borderId="0" xfId="0" applyFont="1" applyFill="1"/>
    <xf numFmtId="0" fontId="26" fillId="3" borderId="0" xfId="0" applyFont="1" applyFill="1" applyBorder="1"/>
    <xf numFmtId="0" fontId="26" fillId="3" borderId="0" xfId="0" applyFont="1" applyFill="1"/>
    <xf numFmtId="0" fontId="0" fillId="3" borderId="0" xfId="0" applyFill="1" applyAlignment="1">
      <alignment horizontal="left"/>
    </xf>
    <xf numFmtId="0" fontId="11" fillId="4" borderId="0" xfId="0" applyFont="1" applyFill="1"/>
    <xf numFmtId="165" fontId="11" fillId="4" borderId="0" xfId="0" applyNumberFormat="1" applyFont="1" applyFill="1"/>
    <xf numFmtId="164" fontId="6" fillId="4" borderId="0" xfId="78" applyFont="1" applyFill="1"/>
    <xf numFmtId="0" fontId="11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23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4" fontId="6" fillId="4" borderId="0" xfId="78" applyFont="1" applyFill="1" applyAlignment="1">
      <alignment horizontal="right" vertical="center"/>
    </xf>
    <xf numFmtId="164" fontId="6" fillId="4" borderId="0" xfId="78" applyFont="1" applyFill="1" applyBorder="1" applyAlignment="1">
      <alignment horizontal="right" vertical="center"/>
    </xf>
    <xf numFmtId="0" fontId="12" fillId="4" borderId="0" xfId="0" applyFont="1" applyFill="1"/>
    <xf numFmtId="0" fontId="12" fillId="4" borderId="0" xfId="0" applyFont="1" applyFill="1" applyBorder="1"/>
    <xf numFmtId="164" fontId="12" fillId="4" borderId="0" xfId="78" applyFont="1" applyFill="1"/>
    <xf numFmtId="165" fontId="12" fillId="4" borderId="0" xfId="0" applyNumberFormat="1" applyFont="1" applyFill="1"/>
    <xf numFmtId="165" fontId="11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1" fillId="3" borderId="0" xfId="78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167" fontId="13" fillId="5" borderId="1" xfId="0" applyNumberFormat="1" applyFont="1" applyFill="1" applyBorder="1"/>
    <xf numFmtId="0" fontId="27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6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/>
    <xf numFmtId="165" fontId="13" fillId="2" borderId="1" xfId="0" applyNumberFormat="1" applyFont="1" applyFill="1" applyBorder="1"/>
    <xf numFmtId="164" fontId="13" fillId="2" borderId="1" xfId="78" applyFont="1" applyFill="1" applyBorder="1"/>
    <xf numFmtId="0" fontId="31" fillId="4" borderId="0" xfId="0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5" fillId="4" borderId="0" xfId="0" applyFont="1" applyFill="1"/>
    <xf numFmtId="165" fontId="11" fillId="4" borderId="0" xfId="78" applyNumberFormat="1" applyFont="1" applyFill="1"/>
    <xf numFmtId="6" fontId="6" fillId="4" borderId="0" xfId="0" applyNumberFormat="1" applyFont="1" applyFill="1"/>
    <xf numFmtId="0" fontId="6" fillId="3" borderId="0" xfId="0" applyFont="1" applyFill="1"/>
    <xf numFmtId="0" fontId="11" fillId="3" borderId="0" xfId="0" applyFont="1" applyFill="1"/>
    <xf numFmtId="164" fontId="6" fillId="3" borderId="0" xfId="78" applyFont="1" applyFill="1" applyAlignment="1">
      <alignment horizontal="right" vertical="center"/>
    </xf>
    <xf numFmtId="165" fontId="11" fillId="3" borderId="0" xfId="0" applyNumberFormat="1" applyFont="1" applyFill="1"/>
    <xf numFmtId="165" fontId="6" fillId="3" borderId="0" xfId="78" applyNumberFormat="1" applyFont="1" applyFill="1"/>
    <xf numFmtId="165" fontId="6" fillId="3" borderId="0" xfId="0" applyNumberFormat="1" applyFont="1" applyFill="1"/>
    <xf numFmtId="164" fontId="6" fillId="3" borderId="0" xfId="78" applyFont="1" applyFill="1"/>
    <xf numFmtId="0" fontId="6" fillId="3" borderId="0" xfId="0" applyFont="1" applyFill="1" applyBorder="1"/>
    <xf numFmtId="0" fontId="11" fillId="3" borderId="0" xfId="0" applyFont="1" applyFill="1" applyBorder="1"/>
    <xf numFmtId="164" fontId="6" fillId="3" borderId="0" xfId="78" applyFont="1" applyFill="1" applyBorder="1" applyAlignment="1">
      <alignment horizontal="right" vertical="center"/>
    </xf>
    <xf numFmtId="0" fontId="12" fillId="3" borderId="0" xfId="0" applyFont="1" applyFill="1"/>
    <xf numFmtId="0" fontId="12" fillId="3" borderId="0" xfId="0" applyFont="1" applyFill="1" applyBorder="1"/>
    <xf numFmtId="164" fontId="12" fillId="3" borderId="0" xfId="78" applyFont="1" applyFill="1"/>
    <xf numFmtId="0" fontId="25" fillId="3" borderId="0" xfId="0" applyFont="1" applyFill="1"/>
    <xf numFmtId="165" fontId="12" fillId="3" borderId="0" xfId="0" applyNumberFormat="1" applyFont="1" applyFill="1"/>
    <xf numFmtId="165" fontId="6" fillId="3" borderId="0" xfId="0" applyNumberFormat="1" applyFont="1" applyFill="1" applyBorder="1" applyAlignment="1">
      <alignment horizontal="right" vertical="center"/>
    </xf>
    <xf numFmtId="0" fontId="7" fillId="3" borderId="0" xfId="0" applyFont="1" applyFill="1"/>
    <xf numFmtId="165" fontId="6" fillId="3" borderId="0" xfId="0" applyNumberFormat="1" applyFont="1" applyFill="1" applyAlignment="1">
      <alignment horizontal="right" vertical="center"/>
    </xf>
    <xf numFmtId="0" fontId="27" fillId="3" borderId="0" xfId="0" applyFont="1" applyFill="1"/>
    <xf numFmtId="0" fontId="23" fillId="3" borderId="0" xfId="0" applyFont="1" applyFill="1" applyBorder="1"/>
    <xf numFmtId="165" fontId="6" fillId="3" borderId="0" xfId="78" applyNumberFormat="1" applyFont="1" applyFill="1" applyBorder="1"/>
    <xf numFmtId="0" fontId="23" fillId="3" borderId="0" xfId="0" applyFont="1" applyFill="1"/>
    <xf numFmtId="0" fontId="6" fillId="3" borderId="0" xfId="78" applyNumberFormat="1" applyFont="1" applyFill="1" applyBorder="1" applyAlignment="1">
      <alignment horizontal="right" vertical="center"/>
    </xf>
    <xf numFmtId="0" fontId="25" fillId="3" borderId="0" xfId="78" applyNumberFormat="1" applyFont="1" applyFill="1" applyBorder="1" applyAlignment="1">
      <alignment horizontal="right" vertical="center"/>
    </xf>
    <xf numFmtId="0" fontId="31" fillId="3" borderId="0" xfId="0" applyFont="1" applyFill="1" applyBorder="1"/>
    <xf numFmtId="0" fontId="28" fillId="6" borderId="0" xfId="0" applyFont="1" applyFill="1"/>
    <xf numFmtId="0" fontId="29" fillId="6" borderId="0" xfId="0" applyFont="1" applyFill="1"/>
    <xf numFmtId="165" fontId="28" fillId="6" borderId="0" xfId="0" applyNumberFormat="1" applyFont="1" applyFill="1"/>
    <xf numFmtId="0" fontId="28" fillId="6" borderId="0" xfId="0" applyFont="1" applyFill="1" applyAlignment="1">
      <alignment horizontal="right" vertical="center"/>
    </xf>
    <xf numFmtId="164" fontId="28" fillId="6" borderId="0" xfId="0" applyNumberFormat="1" applyFont="1" applyFill="1"/>
    <xf numFmtId="0" fontId="30" fillId="6" borderId="0" xfId="0" applyFont="1" applyFill="1"/>
    <xf numFmtId="0" fontId="32" fillId="7" borderId="0" xfId="0" applyFont="1" applyFill="1"/>
    <xf numFmtId="165" fontId="11" fillId="7" borderId="0" xfId="0" applyNumberFormat="1" applyFont="1" applyFill="1"/>
    <xf numFmtId="0" fontId="32" fillId="7" borderId="0" xfId="0" applyFont="1" applyFill="1" applyBorder="1"/>
    <xf numFmtId="0" fontId="33" fillId="3" borderId="0" xfId="0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2"/>
  <sheetViews>
    <sheetView tabSelected="1" topLeftCell="A22" zoomScale="110" zoomScaleNormal="110" workbookViewId="0">
      <selection activeCell="E47" sqref="E47"/>
    </sheetView>
  </sheetViews>
  <sheetFormatPr baseColWidth="10" defaultColWidth="8.83203125" defaultRowHeight="16" x14ac:dyDescent="0.2"/>
  <cols>
    <col min="1" max="1" width="20.5" style="27" bestFit="1" customWidth="1"/>
    <col min="2" max="2" width="20.33203125" style="27" bestFit="1" customWidth="1"/>
    <col min="3" max="3" width="19.33203125" style="27" bestFit="1" customWidth="1"/>
    <col min="4" max="4" width="22.33203125" style="27" bestFit="1" customWidth="1"/>
    <col min="5" max="5" width="12.1640625" style="27" bestFit="1" customWidth="1"/>
    <col min="6" max="6" width="11" style="27" customWidth="1"/>
    <col min="7" max="7" width="11.5" style="27" bestFit="1" customWidth="1"/>
    <col min="8" max="8" width="16.83203125" style="27" bestFit="1" customWidth="1"/>
    <col min="9" max="9" width="15.33203125" style="27" bestFit="1" customWidth="1"/>
    <col min="10" max="10" width="11.1640625" style="27" bestFit="1" customWidth="1"/>
    <col min="11" max="11" width="11.6640625" style="27" bestFit="1" customWidth="1"/>
    <col min="12" max="12" width="15.83203125" style="27" bestFit="1" customWidth="1"/>
    <col min="13" max="258" width="11" style="27" customWidth="1"/>
    <col min="259" max="16384" width="8.83203125" style="27"/>
  </cols>
  <sheetData>
    <row r="1" spans="1:12" x14ac:dyDescent="0.2">
      <c r="A1" s="109" t="str">
        <f>+SUMMARY!A7</f>
        <v>PAYROLL 25TH JUNE - 21 JULY 22 UGLY DUMPLING  TEAM</v>
      </c>
      <c r="B1" s="109"/>
      <c r="C1" s="109"/>
      <c r="D1" s="109"/>
      <c r="E1" s="109"/>
      <c r="F1" s="109"/>
      <c r="G1" s="109"/>
      <c r="H1" s="109"/>
      <c r="I1" s="109"/>
    </row>
    <row r="2" spans="1:12" x14ac:dyDescent="0.2">
      <c r="A2" s="109"/>
      <c r="B2" s="109"/>
      <c r="C2" s="109"/>
      <c r="D2" s="109"/>
      <c r="E2" s="109"/>
      <c r="F2" s="109"/>
      <c r="G2" s="109"/>
      <c r="H2" s="109"/>
      <c r="I2" s="109"/>
    </row>
    <row r="4" spans="1:12" x14ac:dyDescent="0.2">
      <c r="A4" s="28"/>
      <c r="B4" s="28"/>
      <c r="C4" s="28"/>
      <c r="D4" s="28"/>
      <c r="E4" s="28"/>
      <c r="F4" s="28"/>
      <c r="G4" s="28"/>
      <c r="H4" s="28"/>
      <c r="I4" s="28"/>
    </row>
    <row r="5" spans="1:12" x14ac:dyDescent="0.2">
      <c r="A5" s="35" t="s">
        <v>0</v>
      </c>
      <c r="B5" s="35" t="s">
        <v>1</v>
      </c>
      <c r="C5" s="35" t="s">
        <v>2</v>
      </c>
      <c r="D5" s="35" t="s">
        <v>53</v>
      </c>
      <c r="E5" s="35" t="s">
        <v>59</v>
      </c>
      <c r="F5" s="35" t="s">
        <v>5</v>
      </c>
      <c r="G5" s="35" t="s">
        <v>54</v>
      </c>
      <c r="H5" s="35" t="s">
        <v>62</v>
      </c>
      <c r="I5" s="35" t="s">
        <v>55</v>
      </c>
      <c r="J5" s="35" t="s">
        <v>56</v>
      </c>
      <c r="K5" s="35" t="s">
        <v>57</v>
      </c>
      <c r="L5" s="35" t="s">
        <v>58</v>
      </c>
    </row>
    <row r="6" spans="1:12" x14ac:dyDescent="0.2">
      <c r="A6" s="116" t="s">
        <v>15</v>
      </c>
      <c r="B6" s="116" t="s">
        <v>41</v>
      </c>
      <c r="C6" s="116" t="s">
        <v>42</v>
      </c>
      <c r="D6" s="117" t="s">
        <v>11</v>
      </c>
      <c r="E6" s="118">
        <v>9.5</v>
      </c>
      <c r="F6" s="117">
        <v>216.09</v>
      </c>
      <c r="G6" s="119">
        <f>E6*F6</f>
        <v>2052.855</v>
      </c>
      <c r="H6" s="120">
        <v>150</v>
      </c>
      <c r="I6" s="121"/>
      <c r="J6" s="116"/>
      <c r="K6" s="122">
        <v>2.5</v>
      </c>
      <c r="L6" s="116"/>
    </row>
    <row r="7" spans="1:12" x14ac:dyDescent="0.2">
      <c r="A7" s="7" t="s">
        <v>101</v>
      </c>
      <c r="B7" s="74" t="s">
        <v>30</v>
      </c>
      <c r="C7" s="74" t="s">
        <v>31</v>
      </c>
      <c r="D7" s="74" t="s">
        <v>11</v>
      </c>
      <c r="E7" s="83">
        <v>10.5</v>
      </c>
      <c r="F7" s="74">
        <v>0</v>
      </c>
      <c r="G7" s="75">
        <f t="shared" ref="G7:G50" si="0">E7*F7</f>
        <v>0</v>
      </c>
      <c r="H7" s="80">
        <v>0</v>
      </c>
      <c r="I7" s="8"/>
      <c r="J7" s="7"/>
      <c r="K7" s="76"/>
      <c r="L7" s="7"/>
    </row>
    <row r="8" spans="1:12" x14ac:dyDescent="0.2">
      <c r="A8" s="123" t="s">
        <v>101</v>
      </c>
      <c r="B8" s="124" t="s">
        <v>27</v>
      </c>
      <c r="C8" s="124" t="s">
        <v>28</v>
      </c>
      <c r="D8" s="117" t="s">
        <v>11</v>
      </c>
      <c r="E8" s="125">
        <v>10</v>
      </c>
      <c r="F8" s="117">
        <v>137.91999999999999</v>
      </c>
      <c r="G8" s="119">
        <f t="shared" si="0"/>
        <v>1379.1999999999998</v>
      </c>
      <c r="H8" s="120">
        <v>100</v>
      </c>
      <c r="I8" s="121"/>
      <c r="J8" s="116"/>
      <c r="K8" s="122"/>
      <c r="L8" s="116"/>
    </row>
    <row r="9" spans="1:12" x14ac:dyDescent="0.2">
      <c r="A9" s="9" t="s">
        <v>163</v>
      </c>
      <c r="B9" s="77" t="s">
        <v>43</v>
      </c>
      <c r="C9" s="77" t="s">
        <v>44</v>
      </c>
      <c r="D9" s="74" t="s">
        <v>11</v>
      </c>
      <c r="E9" s="84">
        <v>10.5</v>
      </c>
      <c r="F9" s="74">
        <v>191.19</v>
      </c>
      <c r="G9" s="75">
        <f t="shared" si="0"/>
        <v>2007.4949999999999</v>
      </c>
      <c r="H9" s="80">
        <v>120</v>
      </c>
      <c r="I9" s="8"/>
      <c r="J9" s="7"/>
      <c r="K9" s="76">
        <v>3.5</v>
      </c>
      <c r="L9" s="7"/>
    </row>
    <row r="10" spans="1:12" ht="17" customHeight="1" x14ac:dyDescent="0.2">
      <c r="A10" s="116" t="s">
        <v>101</v>
      </c>
      <c r="B10" s="123" t="s">
        <v>86</v>
      </c>
      <c r="C10" s="116" t="s">
        <v>87</v>
      </c>
      <c r="D10" s="117" t="s">
        <v>11</v>
      </c>
      <c r="E10" s="122">
        <v>10.5</v>
      </c>
      <c r="F10" s="117">
        <v>195.76</v>
      </c>
      <c r="G10" s="119">
        <f t="shared" si="0"/>
        <v>2055.48</v>
      </c>
      <c r="H10" s="121">
        <v>130</v>
      </c>
      <c r="I10" s="121"/>
      <c r="J10" s="116"/>
      <c r="K10" s="122">
        <v>3</v>
      </c>
      <c r="L10" s="121"/>
    </row>
    <row r="11" spans="1:12" ht="17" customHeight="1" x14ac:dyDescent="0.2">
      <c r="A11" s="7" t="s">
        <v>15</v>
      </c>
      <c r="B11" s="9" t="s">
        <v>61</v>
      </c>
      <c r="C11" s="7" t="s">
        <v>60</v>
      </c>
      <c r="D11" s="74" t="s">
        <v>11</v>
      </c>
      <c r="E11" s="76">
        <v>9</v>
      </c>
      <c r="F11" s="74">
        <v>190.89</v>
      </c>
      <c r="G11" s="75">
        <f t="shared" si="0"/>
        <v>1718.0099999999998</v>
      </c>
      <c r="H11" s="8"/>
      <c r="I11" s="8"/>
      <c r="J11" s="7"/>
      <c r="K11" s="76">
        <v>1</v>
      </c>
      <c r="L11" s="115"/>
    </row>
    <row r="12" spans="1:12" ht="17" customHeight="1" x14ac:dyDescent="0.2">
      <c r="A12" s="116" t="s">
        <v>15</v>
      </c>
      <c r="B12" s="123" t="s">
        <v>81</v>
      </c>
      <c r="C12" s="116" t="s">
        <v>82</v>
      </c>
      <c r="D12" s="117" t="s">
        <v>11</v>
      </c>
      <c r="E12" s="122">
        <v>9</v>
      </c>
      <c r="F12" s="117">
        <v>119.62</v>
      </c>
      <c r="G12" s="119">
        <f t="shared" si="0"/>
        <v>1076.58</v>
      </c>
      <c r="H12" s="121"/>
      <c r="I12" s="121"/>
      <c r="J12" s="116"/>
      <c r="K12" s="122">
        <v>1</v>
      </c>
      <c r="L12" s="129" t="s">
        <v>187</v>
      </c>
    </row>
    <row r="13" spans="1:12" ht="17" customHeight="1" x14ac:dyDescent="0.2">
      <c r="A13" s="85" t="s">
        <v>15</v>
      </c>
      <c r="B13" s="86" t="s">
        <v>115</v>
      </c>
      <c r="C13" s="85" t="s">
        <v>116</v>
      </c>
      <c r="D13" s="74" t="s">
        <v>11</v>
      </c>
      <c r="E13" s="87">
        <v>9</v>
      </c>
      <c r="F13" s="113">
        <v>65.61</v>
      </c>
      <c r="G13" s="75">
        <f t="shared" si="0"/>
        <v>590.49</v>
      </c>
      <c r="H13" s="88"/>
      <c r="I13" s="88"/>
      <c r="J13" s="85"/>
      <c r="K13" s="87">
        <v>1</v>
      </c>
      <c r="L13" s="85" t="s">
        <v>193</v>
      </c>
    </row>
    <row r="14" spans="1:12" ht="17" customHeight="1" x14ac:dyDescent="0.2">
      <c r="A14" s="126" t="s">
        <v>15</v>
      </c>
      <c r="B14" s="127" t="s">
        <v>88</v>
      </c>
      <c r="C14" s="126" t="s">
        <v>89</v>
      </c>
      <c r="D14" s="117" t="s">
        <v>11</v>
      </c>
      <c r="E14" s="128">
        <v>9</v>
      </c>
      <c r="F14" s="117">
        <v>107.91</v>
      </c>
      <c r="G14" s="119">
        <f t="shared" si="0"/>
        <v>971.18999999999994</v>
      </c>
      <c r="H14" s="130"/>
      <c r="I14" s="130"/>
      <c r="J14" s="126"/>
      <c r="K14" s="128">
        <v>1</v>
      </c>
      <c r="L14" s="126"/>
    </row>
    <row r="15" spans="1:12" ht="17" customHeight="1" x14ac:dyDescent="0.2">
      <c r="A15" s="85" t="s">
        <v>15</v>
      </c>
      <c r="B15" s="86" t="s">
        <v>164</v>
      </c>
      <c r="C15" s="85" t="s">
        <v>165</v>
      </c>
      <c r="D15" s="74" t="s">
        <v>11</v>
      </c>
      <c r="E15" s="87">
        <v>9</v>
      </c>
      <c r="F15" s="74">
        <v>81.31</v>
      </c>
      <c r="G15" s="75">
        <f t="shared" si="0"/>
        <v>731.79</v>
      </c>
      <c r="H15" s="88"/>
      <c r="I15" s="88"/>
      <c r="J15" s="85"/>
      <c r="K15" s="87">
        <v>0.5</v>
      </c>
      <c r="L15" s="85" t="s">
        <v>185</v>
      </c>
    </row>
    <row r="16" spans="1:12" ht="17" customHeight="1" x14ac:dyDescent="0.2">
      <c r="A16" s="126" t="s">
        <v>15</v>
      </c>
      <c r="B16" s="127" t="s">
        <v>102</v>
      </c>
      <c r="C16" s="126" t="s">
        <v>103</v>
      </c>
      <c r="D16" s="117" t="s">
        <v>11</v>
      </c>
      <c r="E16" s="128">
        <v>9.5</v>
      </c>
      <c r="F16" s="117">
        <v>110.34</v>
      </c>
      <c r="G16" s="119">
        <f t="shared" si="0"/>
        <v>1048.23</v>
      </c>
      <c r="H16" s="130"/>
      <c r="I16" s="130"/>
      <c r="J16" s="126"/>
      <c r="K16" s="128">
        <v>0.5</v>
      </c>
      <c r="L16" s="126"/>
    </row>
    <row r="17" spans="1:19" ht="17" customHeight="1" x14ac:dyDescent="0.2">
      <c r="A17" s="85" t="s">
        <v>15</v>
      </c>
      <c r="B17" s="86" t="s">
        <v>166</v>
      </c>
      <c r="C17" s="85" t="s">
        <v>167</v>
      </c>
      <c r="D17" s="74" t="s">
        <v>11</v>
      </c>
      <c r="E17" s="87">
        <v>8.5</v>
      </c>
      <c r="F17" s="74">
        <v>72.61</v>
      </c>
      <c r="G17" s="75">
        <f t="shared" si="0"/>
        <v>617.18499999999995</v>
      </c>
      <c r="H17" s="88"/>
      <c r="I17" s="88"/>
      <c r="J17" s="85"/>
      <c r="K17" s="87">
        <v>0.5</v>
      </c>
      <c r="L17" s="85" t="s">
        <v>185</v>
      </c>
    </row>
    <row r="18" spans="1:19" ht="17" customHeight="1" x14ac:dyDescent="0.2">
      <c r="A18" s="126" t="s">
        <v>15</v>
      </c>
      <c r="B18" s="127" t="s">
        <v>120</v>
      </c>
      <c r="C18" s="126" t="s">
        <v>121</v>
      </c>
      <c r="D18" s="117" t="s">
        <v>11</v>
      </c>
      <c r="E18" s="128">
        <v>8.5</v>
      </c>
      <c r="F18" s="117">
        <v>15</v>
      </c>
      <c r="G18" s="119">
        <f t="shared" si="0"/>
        <v>127.5</v>
      </c>
      <c r="H18" s="130"/>
      <c r="I18" s="130"/>
      <c r="J18" s="126"/>
      <c r="K18" s="128"/>
      <c r="L18" s="126" t="s">
        <v>193</v>
      </c>
    </row>
    <row r="19" spans="1:19" ht="17" customHeight="1" x14ac:dyDescent="0.2">
      <c r="A19" s="85" t="s">
        <v>15</v>
      </c>
      <c r="B19" s="86" t="s">
        <v>168</v>
      </c>
      <c r="C19" s="85" t="s">
        <v>169</v>
      </c>
      <c r="D19" s="74" t="s">
        <v>11</v>
      </c>
      <c r="E19" s="87">
        <v>8.5</v>
      </c>
      <c r="F19" s="74">
        <v>31.06</v>
      </c>
      <c r="G19" s="75">
        <f t="shared" si="0"/>
        <v>264.01</v>
      </c>
      <c r="H19" s="88"/>
      <c r="I19" s="88"/>
      <c r="J19" s="85"/>
      <c r="K19" s="87">
        <v>0.5</v>
      </c>
      <c r="L19" s="85" t="s">
        <v>185</v>
      </c>
    </row>
    <row r="20" spans="1:19" ht="17" customHeight="1" x14ac:dyDescent="0.2">
      <c r="A20" s="126" t="s">
        <v>15</v>
      </c>
      <c r="B20" s="127" t="s">
        <v>170</v>
      </c>
      <c r="C20" s="126" t="s">
        <v>171</v>
      </c>
      <c r="D20" s="117" t="s">
        <v>11</v>
      </c>
      <c r="E20" s="128">
        <v>8.5</v>
      </c>
      <c r="F20" s="117">
        <v>35.85</v>
      </c>
      <c r="G20" s="119">
        <f t="shared" si="0"/>
        <v>304.72500000000002</v>
      </c>
      <c r="H20" s="130"/>
      <c r="I20" s="130"/>
      <c r="J20" s="126"/>
      <c r="K20" s="128">
        <v>1</v>
      </c>
      <c r="L20" s="150" t="s">
        <v>118</v>
      </c>
    </row>
    <row r="21" spans="1:19" ht="17" customHeight="1" x14ac:dyDescent="0.2">
      <c r="A21" s="85" t="s">
        <v>15</v>
      </c>
      <c r="B21" s="86" t="s">
        <v>183</v>
      </c>
      <c r="C21" s="85" t="s">
        <v>184</v>
      </c>
      <c r="D21" s="74" t="s">
        <v>11</v>
      </c>
      <c r="E21" s="87">
        <v>9.5</v>
      </c>
      <c r="F21" s="74">
        <v>129.86000000000001</v>
      </c>
      <c r="G21" s="75">
        <f t="shared" si="0"/>
        <v>1233.67</v>
      </c>
      <c r="H21" s="88"/>
      <c r="I21" s="88"/>
      <c r="J21" s="85"/>
      <c r="K21" s="87">
        <v>1</v>
      </c>
      <c r="L21" s="85" t="s">
        <v>185</v>
      </c>
    </row>
    <row r="22" spans="1:19" ht="17" customHeight="1" x14ac:dyDescent="0.2">
      <c r="A22" s="126" t="s">
        <v>174</v>
      </c>
      <c r="B22" s="127" t="s">
        <v>172</v>
      </c>
      <c r="C22" s="126" t="s">
        <v>173</v>
      </c>
      <c r="D22" s="117" t="s">
        <v>11</v>
      </c>
      <c r="E22" s="128">
        <v>10.5</v>
      </c>
      <c r="F22" s="117">
        <v>20.39</v>
      </c>
      <c r="G22" s="119">
        <f t="shared" si="0"/>
        <v>214.095</v>
      </c>
      <c r="H22" s="130"/>
      <c r="I22" s="130"/>
      <c r="J22" s="126"/>
      <c r="K22" s="128">
        <v>1</v>
      </c>
      <c r="L22" s="126" t="s">
        <v>117</v>
      </c>
    </row>
    <row r="23" spans="1:19" ht="17" customHeight="1" x14ac:dyDescent="0.2">
      <c r="A23" s="85" t="s">
        <v>15</v>
      </c>
      <c r="B23" s="86" t="s">
        <v>112</v>
      </c>
      <c r="C23" s="85" t="s">
        <v>113</v>
      </c>
      <c r="D23" s="74" t="s">
        <v>11</v>
      </c>
      <c r="E23" s="87">
        <v>8</v>
      </c>
      <c r="F23" s="74">
        <v>42.03</v>
      </c>
      <c r="G23" s="75">
        <f t="shared" si="0"/>
        <v>336.24</v>
      </c>
      <c r="H23" s="88"/>
      <c r="I23" s="88"/>
      <c r="J23" s="85"/>
      <c r="K23" s="87">
        <v>0.5</v>
      </c>
      <c r="L23" s="85"/>
    </row>
    <row r="24" spans="1:19" ht="29" customHeight="1" x14ac:dyDescent="0.2">
      <c r="A24" s="147"/>
      <c r="B24" s="147"/>
      <c r="C24" s="147"/>
      <c r="D24" s="147"/>
      <c r="E24" s="147"/>
      <c r="F24" s="147"/>
      <c r="G24" s="148"/>
      <c r="H24" s="147"/>
      <c r="I24" s="149"/>
      <c r="J24" s="149"/>
      <c r="K24" s="149"/>
      <c r="L24" s="149"/>
      <c r="M24" s="16"/>
      <c r="N24" s="13"/>
      <c r="O24" s="16"/>
      <c r="P24" s="29"/>
      <c r="Q24" s="31"/>
      <c r="R24" s="33"/>
      <c r="S24" s="30"/>
    </row>
    <row r="25" spans="1:19" x14ac:dyDescent="0.2">
      <c r="A25" s="9" t="s">
        <v>32</v>
      </c>
      <c r="B25" s="77" t="s">
        <v>33</v>
      </c>
      <c r="C25" s="77" t="s">
        <v>34</v>
      </c>
      <c r="D25" s="74" t="s">
        <v>11</v>
      </c>
      <c r="E25" s="78">
        <v>10</v>
      </c>
      <c r="F25" s="77">
        <v>29.64</v>
      </c>
      <c r="G25" s="75">
        <f t="shared" si="0"/>
        <v>296.39999999999998</v>
      </c>
      <c r="H25" s="114"/>
      <c r="I25" s="75"/>
      <c r="J25" s="7"/>
      <c r="K25" s="76"/>
      <c r="L25" s="100"/>
      <c r="M25" s="32"/>
      <c r="N25" s="32"/>
      <c r="O25" s="32"/>
      <c r="P25" s="32"/>
      <c r="Q25" s="32"/>
    </row>
    <row r="26" spans="1:19" x14ac:dyDescent="0.2">
      <c r="A26" s="116" t="s">
        <v>16</v>
      </c>
      <c r="B26" s="116" t="s">
        <v>9</v>
      </c>
      <c r="C26" s="116" t="s">
        <v>10</v>
      </c>
      <c r="D26" s="117" t="s">
        <v>11</v>
      </c>
      <c r="E26" s="133">
        <v>10.7</v>
      </c>
      <c r="F26" s="116">
        <v>100.18</v>
      </c>
      <c r="G26" s="119">
        <f t="shared" si="0"/>
        <v>1071.9259999999999</v>
      </c>
      <c r="H26" s="120">
        <v>100</v>
      </c>
      <c r="I26" s="121"/>
      <c r="J26" s="116"/>
      <c r="K26" s="122"/>
      <c r="L26" s="134" t="s">
        <v>186</v>
      </c>
      <c r="M26" s="32"/>
      <c r="N26" s="32"/>
      <c r="O26" s="32"/>
      <c r="P26" s="32"/>
      <c r="Q26" s="32"/>
    </row>
    <row r="27" spans="1:19" x14ac:dyDescent="0.2">
      <c r="A27" s="9" t="s">
        <v>16</v>
      </c>
      <c r="B27" s="9" t="s">
        <v>25</v>
      </c>
      <c r="C27" s="9" t="s">
        <v>26</v>
      </c>
      <c r="D27" s="74" t="s">
        <v>11</v>
      </c>
      <c r="E27" s="78">
        <v>10.7</v>
      </c>
      <c r="F27" s="9">
        <v>25</v>
      </c>
      <c r="G27" s="75">
        <f t="shared" si="0"/>
        <v>267.5</v>
      </c>
      <c r="H27" s="80"/>
      <c r="I27" s="8"/>
      <c r="J27" s="7"/>
      <c r="K27" s="76"/>
      <c r="L27" s="99" t="s">
        <v>196</v>
      </c>
      <c r="M27" s="32"/>
      <c r="N27" s="32"/>
      <c r="O27" s="32"/>
      <c r="P27" s="32"/>
      <c r="Q27" s="32"/>
    </row>
    <row r="28" spans="1:19" x14ac:dyDescent="0.2">
      <c r="A28" s="123" t="s">
        <v>21</v>
      </c>
      <c r="B28" s="124" t="s">
        <v>52</v>
      </c>
      <c r="C28" s="124" t="s">
        <v>29</v>
      </c>
      <c r="D28" s="117" t="s">
        <v>11</v>
      </c>
      <c r="E28" s="131">
        <v>10</v>
      </c>
      <c r="F28" s="135">
        <f>'Dumpling Bonus '!L8</f>
        <v>119.1</v>
      </c>
      <c r="G28" s="119">
        <f t="shared" si="0"/>
        <v>1191</v>
      </c>
      <c r="H28" s="120"/>
      <c r="I28" s="121">
        <f>'Dumpling Bonus '!J8</f>
        <v>145.42500000000001</v>
      </c>
      <c r="J28" s="116"/>
      <c r="K28" s="122"/>
      <c r="L28" s="132"/>
      <c r="M28" s="32"/>
      <c r="N28" s="32"/>
      <c r="O28" s="32"/>
      <c r="P28" s="32"/>
      <c r="Q28" s="32"/>
    </row>
    <row r="29" spans="1:19" x14ac:dyDescent="0.2">
      <c r="A29" s="7" t="s">
        <v>21</v>
      </c>
      <c r="B29" s="9" t="s">
        <v>13</v>
      </c>
      <c r="C29" s="9" t="s">
        <v>12</v>
      </c>
      <c r="D29" s="74" t="s">
        <v>11</v>
      </c>
      <c r="E29" s="78">
        <v>10</v>
      </c>
      <c r="F29" s="79">
        <f>'Dumpling Bonus '!L7</f>
        <v>135.82</v>
      </c>
      <c r="G29" s="75">
        <f t="shared" si="0"/>
        <v>1358.1999999999998</v>
      </c>
      <c r="H29" s="81"/>
      <c r="I29" s="81">
        <f>'Dumpling Bonus '!J7</f>
        <v>134.57500000000002</v>
      </c>
      <c r="J29" s="7"/>
      <c r="K29" s="76"/>
      <c r="L29" s="100"/>
      <c r="M29" s="32"/>
      <c r="N29" s="32"/>
      <c r="O29" s="32"/>
      <c r="P29" s="32"/>
      <c r="Q29" s="32"/>
    </row>
    <row r="30" spans="1:19" x14ac:dyDescent="0.2">
      <c r="A30" s="116" t="s">
        <v>21</v>
      </c>
      <c r="B30" s="123" t="s">
        <v>83</v>
      </c>
      <c r="C30" s="123" t="s">
        <v>84</v>
      </c>
      <c r="D30" s="117" t="s">
        <v>11</v>
      </c>
      <c r="E30" s="131">
        <v>9.5</v>
      </c>
      <c r="F30" s="135">
        <v>147.94</v>
      </c>
      <c r="G30" s="119">
        <f t="shared" si="0"/>
        <v>1405.43</v>
      </c>
      <c r="H30" s="136"/>
      <c r="I30" s="136">
        <v>50</v>
      </c>
      <c r="J30" s="116"/>
      <c r="K30" s="122"/>
      <c r="L30" s="132"/>
      <c r="M30" s="32"/>
      <c r="N30" s="32"/>
      <c r="O30" s="32"/>
      <c r="P30" s="32"/>
      <c r="Q30" s="32"/>
    </row>
    <row r="31" spans="1:19" x14ac:dyDescent="0.2">
      <c r="A31" s="7" t="s">
        <v>35</v>
      </c>
      <c r="B31" s="7" t="s">
        <v>37</v>
      </c>
      <c r="C31" s="7" t="s">
        <v>38</v>
      </c>
      <c r="D31" s="74" t="s">
        <v>11</v>
      </c>
      <c r="E31" s="78">
        <v>9.5</v>
      </c>
      <c r="F31" s="7">
        <v>195.42</v>
      </c>
      <c r="G31" s="75">
        <f t="shared" si="0"/>
        <v>1856.4899999999998</v>
      </c>
      <c r="H31" s="8">
        <v>70</v>
      </c>
      <c r="I31" s="8"/>
      <c r="J31" s="7"/>
      <c r="K31" s="76">
        <v>1</v>
      </c>
      <c r="L31" s="99" t="s">
        <v>188</v>
      </c>
    </row>
    <row r="32" spans="1:19" x14ac:dyDescent="0.2">
      <c r="A32" s="116" t="s">
        <v>47</v>
      </c>
      <c r="B32" s="116" t="s">
        <v>40</v>
      </c>
      <c r="C32" s="116" t="s">
        <v>39</v>
      </c>
      <c r="D32" s="117" t="s">
        <v>11</v>
      </c>
      <c r="E32" s="131">
        <v>9.5</v>
      </c>
      <c r="F32" s="137">
        <f>16*5</f>
        <v>80</v>
      </c>
      <c r="G32" s="119">
        <f t="shared" si="0"/>
        <v>760</v>
      </c>
      <c r="H32" s="121"/>
      <c r="I32" s="121"/>
      <c r="J32" s="116"/>
      <c r="K32" s="122">
        <v>3</v>
      </c>
      <c r="L32" s="132"/>
    </row>
    <row r="33" spans="1:12" x14ac:dyDescent="0.2">
      <c r="A33" s="7" t="s">
        <v>47</v>
      </c>
      <c r="B33" s="7" t="s">
        <v>45</v>
      </c>
      <c r="C33" s="7" t="s">
        <v>46</v>
      </c>
      <c r="D33" s="74" t="s">
        <v>11</v>
      </c>
      <c r="E33" s="78">
        <v>9</v>
      </c>
      <c r="F33" s="7">
        <v>95.53</v>
      </c>
      <c r="G33" s="75">
        <f t="shared" si="0"/>
        <v>859.77</v>
      </c>
      <c r="H33" s="8"/>
      <c r="I33" s="8"/>
      <c r="J33" s="7"/>
      <c r="K33" s="76">
        <v>0.5</v>
      </c>
      <c r="L33" s="99" t="s">
        <v>192</v>
      </c>
    </row>
    <row r="34" spans="1:12" x14ac:dyDescent="0.2">
      <c r="A34" s="116" t="s">
        <v>47</v>
      </c>
      <c r="B34" s="123" t="s">
        <v>50</v>
      </c>
      <c r="C34" s="116" t="s">
        <v>51</v>
      </c>
      <c r="D34" s="117" t="s">
        <v>11</v>
      </c>
      <c r="E34" s="121">
        <v>8</v>
      </c>
      <c r="F34" s="138">
        <v>93.62</v>
      </c>
      <c r="G34" s="119">
        <f t="shared" si="0"/>
        <v>748.96</v>
      </c>
      <c r="H34" s="121"/>
      <c r="I34" s="121"/>
      <c r="J34" s="116"/>
      <c r="K34" s="122">
        <v>0.5</v>
      </c>
      <c r="L34" s="132"/>
    </row>
    <row r="35" spans="1:12" x14ac:dyDescent="0.2">
      <c r="A35" s="7" t="s">
        <v>47</v>
      </c>
      <c r="B35" s="9" t="s">
        <v>181</v>
      </c>
      <c r="C35" s="7" t="s">
        <v>182</v>
      </c>
      <c r="D35" s="74" t="s">
        <v>11</v>
      </c>
      <c r="E35" s="8">
        <v>10</v>
      </c>
      <c r="F35" s="82">
        <v>14.45</v>
      </c>
      <c r="G35" s="75">
        <f t="shared" si="0"/>
        <v>144.5</v>
      </c>
      <c r="H35" s="8"/>
      <c r="I35" s="8"/>
      <c r="J35" s="7"/>
      <c r="K35" s="76">
        <v>1</v>
      </c>
      <c r="L35" s="99" t="s">
        <v>118</v>
      </c>
    </row>
    <row r="36" spans="1:12" x14ac:dyDescent="0.2">
      <c r="A36" s="116" t="s">
        <v>47</v>
      </c>
      <c r="B36" s="123" t="s">
        <v>90</v>
      </c>
      <c r="C36" s="116" t="s">
        <v>91</v>
      </c>
      <c r="D36" s="117" t="s">
        <v>11</v>
      </c>
      <c r="E36" s="121">
        <v>8.5</v>
      </c>
      <c r="F36" s="138">
        <v>143.77000000000001</v>
      </c>
      <c r="G36" s="119">
        <f t="shared" si="0"/>
        <v>1222.0450000000001</v>
      </c>
      <c r="H36" s="121"/>
      <c r="I36" s="121"/>
      <c r="J36" s="116"/>
      <c r="K36" s="122">
        <v>1</v>
      </c>
      <c r="L36" s="132"/>
    </row>
    <row r="37" spans="1:12" x14ac:dyDescent="0.2">
      <c r="A37" s="7" t="s">
        <v>47</v>
      </c>
      <c r="B37" s="9" t="s">
        <v>93</v>
      </c>
      <c r="C37" s="7" t="s">
        <v>92</v>
      </c>
      <c r="D37" s="74" t="s">
        <v>11</v>
      </c>
      <c r="E37" s="8">
        <v>10</v>
      </c>
      <c r="F37" s="82">
        <v>237.32</v>
      </c>
      <c r="G37" s="75">
        <f t="shared" si="0"/>
        <v>2373.1999999999998</v>
      </c>
      <c r="H37" s="8">
        <v>130</v>
      </c>
      <c r="I37" s="8"/>
      <c r="J37" s="7"/>
      <c r="K37" s="76">
        <v>1</v>
      </c>
      <c r="L37" s="100"/>
    </row>
    <row r="38" spans="1:12" x14ac:dyDescent="0.2">
      <c r="A38" s="116" t="s">
        <v>21</v>
      </c>
      <c r="B38" s="123" t="s">
        <v>94</v>
      </c>
      <c r="C38" s="116" t="s">
        <v>95</v>
      </c>
      <c r="D38" s="117" t="s">
        <v>11</v>
      </c>
      <c r="E38" s="121">
        <v>9.5</v>
      </c>
      <c r="F38" s="138">
        <v>229.33</v>
      </c>
      <c r="G38" s="119">
        <f t="shared" si="0"/>
        <v>2178.6350000000002</v>
      </c>
      <c r="H38" s="121"/>
      <c r="I38" s="121">
        <v>60</v>
      </c>
      <c r="J38" s="116"/>
      <c r="K38" s="122"/>
      <c r="L38" s="132"/>
    </row>
    <row r="39" spans="1:12" x14ac:dyDescent="0.2">
      <c r="A39" s="7" t="s">
        <v>21</v>
      </c>
      <c r="B39" s="9" t="s">
        <v>98</v>
      </c>
      <c r="C39" s="7"/>
      <c r="D39" s="74" t="s">
        <v>11</v>
      </c>
      <c r="E39" s="8">
        <v>8.5</v>
      </c>
      <c r="F39" s="82">
        <v>26.71</v>
      </c>
      <c r="G39" s="75">
        <f t="shared" si="0"/>
        <v>227.035</v>
      </c>
      <c r="H39" s="8"/>
      <c r="I39" s="8">
        <v>50</v>
      </c>
      <c r="J39" s="7"/>
      <c r="K39" s="76"/>
      <c r="L39" s="100"/>
    </row>
    <row r="40" spans="1:12" x14ac:dyDescent="0.2">
      <c r="A40" s="116" t="s">
        <v>47</v>
      </c>
      <c r="B40" s="123" t="s">
        <v>109</v>
      </c>
      <c r="C40" s="116" t="s">
        <v>106</v>
      </c>
      <c r="D40" s="117" t="s">
        <v>11</v>
      </c>
      <c r="E40" s="121">
        <v>9.5</v>
      </c>
      <c r="F40" s="139">
        <v>108.04</v>
      </c>
      <c r="G40" s="119">
        <f t="shared" si="0"/>
        <v>1026.3800000000001</v>
      </c>
      <c r="H40" s="121"/>
      <c r="I40" s="121"/>
      <c r="J40" s="116"/>
      <c r="K40" s="122">
        <v>2</v>
      </c>
      <c r="L40" s="132"/>
    </row>
    <row r="41" spans="1:12" x14ac:dyDescent="0.2">
      <c r="A41" s="7" t="s">
        <v>47</v>
      </c>
      <c r="B41" s="9" t="s">
        <v>110</v>
      </c>
      <c r="C41" s="7" t="s">
        <v>107</v>
      </c>
      <c r="D41" s="74" t="s">
        <v>11</v>
      </c>
      <c r="E41" s="8">
        <v>9.5</v>
      </c>
      <c r="F41" s="82">
        <v>135.04</v>
      </c>
      <c r="G41" s="75">
        <f>E41*F41</f>
        <v>1282.8799999999999</v>
      </c>
      <c r="H41" s="8"/>
      <c r="I41" s="8"/>
      <c r="J41" s="7"/>
      <c r="K41" s="76">
        <v>2</v>
      </c>
      <c r="L41" s="100"/>
    </row>
    <row r="42" spans="1:12" x14ac:dyDescent="0.2">
      <c r="A42" s="140" t="s">
        <v>47</v>
      </c>
      <c r="B42" s="141" t="s">
        <v>122</v>
      </c>
      <c r="C42" s="141" t="s">
        <v>123</v>
      </c>
      <c r="D42" s="142" t="s">
        <v>11</v>
      </c>
      <c r="E42" s="143">
        <v>9.5</v>
      </c>
      <c r="F42" s="144">
        <v>176.56</v>
      </c>
      <c r="G42" s="119">
        <f t="shared" si="0"/>
        <v>1677.32</v>
      </c>
      <c r="H42" s="143"/>
      <c r="I42" s="143"/>
      <c r="J42" s="141"/>
      <c r="K42" s="145">
        <v>1</v>
      </c>
      <c r="L42" s="146" t="s">
        <v>117</v>
      </c>
    </row>
    <row r="43" spans="1:12" x14ac:dyDescent="0.2">
      <c r="A43" s="108" t="s">
        <v>47</v>
      </c>
      <c r="B43" s="9" t="s">
        <v>124</v>
      </c>
      <c r="C43" s="7" t="s">
        <v>125</v>
      </c>
      <c r="D43" s="74" t="s">
        <v>11</v>
      </c>
      <c r="E43" s="8">
        <v>9.5</v>
      </c>
      <c r="F43" s="82">
        <v>104.56</v>
      </c>
      <c r="G43" s="75">
        <f t="shared" si="0"/>
        <v>993.32</v>
      </c>
      <c r="H43" s="8"/>
      <c r="I43" s="8">
        <v>50</v>
      </c>
      <c r="J43" s="7"/>
      <c r="K43" s="76"/>
      <c r="L43" s="100" t="s">
        <v>117</v>
      </c>
    </row>
    <row r="44" spans="1:12" x14ac:dyDescent="0.2">
      <c r="A44" s="140" t="s">
        <v>194</v>
      </c>
      <c r="B44" s="123" t="s">
        <v>126</v>
      </c>
      <c r="C44" s="116" t="s">
        <v>127</v>
      </c>
      <c r="D44" s="117" t="s">
        <v>11</v>
      </c>
      <c r="E44" s="121">
        <v>10.7</v>
      </c>
      <c r="F44" s="138">
        <v>210.18</v>
      </c>
      <c r="G44" s="119">
        <f t="shared" si="0"/>
        <v>2248.9259999999999</v>
      </c>
      <c r="H44" s="121"/>
      <c r="I44" s="121"/>
      <c r="J44" s="116"/>
      <c r="K44" s="122">
        <v>1</v>
      </c>
      <c r="L44" s="134" t="s">
        <v>189</v>
      </c>
    </row>
    <row r="45" spans="1:12" x14ac:dyDescent="0.2">
      <c r="A45" s="108" t="s">
        <v>47</v>
      </c>
      <c r="B45" s="9" t="s">
        <v>128</v>
      </c>
      <c r="C45" s="7" t="s">
        <v>129</v>
      </c>
      <c r="D45" s="74" t="s">
        <v>11</v>
      </c>
      <c r="E45" s="8">
        <v>8</v>
      </c>
      <c r="F45" s="82">
        <v>42.62</v>
      </c>
      <c r="G45" s="75">
        <f t="shared" si="0"/>
        <v>340.96</v>
      </c>
      <c r="H45" s="8"/>
      <c r="I45" s="8"/>
      <c r="J45" s="7"/>
      <c r="K45" s="76">
        <v>0.5</v>
      </c>
      <c r="L45" s="100" t="s">
        <v>80</v>
      </c>
    </row>
    <row r="46" spans="1:12" x14ac:dyDescent="0.2">
      <c r="A46" s="140" t="s">
        <v>47</v>
      </c>
      <c r="B46" s="123" t="s">
        <v>175</v>
      </c>
      <c r="C46" s="116" t="s">
        <v>176</v>
      </c>
      <c r="D46" s="117" t="s">
        <v>11</v>
      </c>
      <c r="E46" s="121">
        <v>8.5</v>
      </c>
      <c r="F46" s="138">
        <v>39.19</v>
      </c>
      <c r="G46" s="119">
        <f t="shared" si="0"/>
        <v>333.11500000000001</v>
      </c>
      <c r="H46" s="121"/>
      <c r="I46" s="121"/>
      <c r="J46" s="116"/>
      <c r="K46" s="122">
        <v>0.5</v>
      </c>
      <c r="L46" s="132" t="s">
        <v>117</v>
      </c>
    </row>
    <row r="47" spans="1:12" x14ac:dyDescent="0.2">
      <c r="A47" s="7" t="s">
        <v>47</v>
      </c>
      <c r="B47" s="9" t="s">
        <v>177</v>
      </c>
      <c r="C47" s="7" t="s">
        <v>178</v>
      </c>
      <c r="D47" s="74" t="s">
        <v>11</v>
      </c>
      <c r="E47" s="8">
        <v>10</v>
      </c>
      <c r="F47" s="82">
        <v>36.04</v>
      </c>
      <c r="G47" s="75">
        <f t="shared" si="0"/>
        <v>360.4</v>
      </c>
      <c r="H47" s="8"/>
      <c r="I47" s="8"/>
      <c r="J47" s="7"/>
      <c r="K47" s="76">
        <v>1.5</v>
      </c>
      <c r="L47" s="100" t="s">
        <v>117</v>
      </c>
    </row>
    <row r="48" spans="1:12" x14ac:dyDescent="0.2">
      <c r="A48" s="116" t="s">
        <v>47</v>
      </c>
      <c r="B48" s="123" t="s">
        <v>48</v>
      </c>
      <c r="C48" s="116" t="s">
        <v>119</v>
      </c>
      <c r="D48" s="117" t="s">
        <v>11</v>
      </c>
      <c r="E48" s="121">
        <v>10.7</v>
      </c>
      <c r="F48" s="138">
        <v>236.89</v>
      </c>
      <c r="G48" s="119">
        <f t="shared" si="0"/>
        <v>2534.7229999999995</v>
      </c>
      <c r="H48" s="121">
        <v>120</v>
      </c>
      <c r="I48" s="121"/>
      <c r="J48" s="116"/>
      <c r="K48" s="122">
        <v>1</v>
      </c>
      <c r="L48" s="134" t="s">
        <v>189</v>
      </c>
    </row>
    <row r="49" spans="1:12" x14ac:dyDescent="0.2">
      <c r="A49" s="7" t="s">
        <v>47</v>
      </c>
      <c r="B49" s="86" t="s">
        <v>179</v>
      </c>
      <c r="C49" s="7" t="s">
        <v>180</v>
      </c>
      <c r="D49" s="74" t="s">
        <v>11</v>
      </c>
      <c r="E49" s="8">
        <v>9.5</v>
      </c>
      <c r="F49" s="82">
        <v>12</v>
      </c>
      <c r="G49" s="75">
        <f t="shared" si="0"/>
        <v>114</v>
      </c>
      <c r="H49" s="8"/>
      <c r="I49" s="8"/>
      <c r="J49" s="7"/>
      <c r="K49" s="76"/>
      <c r="L49" s="100" t="s">
        <v>195</v>
      </c>
    </row>
    <row r="50" spans="1:12" x14ac:dyDescent="0.2">
      <c r="A50" s="116" t="s">
        <v>47</v>
      </c>
      <c r="B50" s="126" t="s">
        <v>111</v>
      </c>
      <c r="C50" s="116" t="s">
        <v>108</v>
      </c>
      <c r="D50" s="117" t="s">
        <v>11</v>
      </c>
      <c r="E50" s="121">
        <v>9.5</v>
      </c>
      <c r="F50" s="138">
        <v>71.040000000000006</v>
      </c>
      <c r="G50" s="119">
        <f t="shared" si="0"/>
        <v>674.88000000000011</v>
      </c>
      <c r="H50" s="121"/>
      <c r="I50" s="121"/>
      <c r="J50" s="116"/>
      <c r="K50" s="122">
        <v>0.5</v>
      </c>
      <c r="L50" s="132"/>
    </row>
    <row r="51" spans="1:12" ht="17" thickBot="1" x14ac:dyDescent="0.25">
      <c r="A51" s="19"/>
      <c r="B51" s="101"/>
      <c r="C51" s="19"/>
      <c r="D51" s="102"/>
      <c r="E51" s="103">
        <f>AVERAGE(E6:E50)-E24</f>
        <v>9.4499999999999993</v>
      </c>
      <c r="F51" s="104">
        <f>SUM(F6:F50)-F24</f>
        <v>4609.4299999999994</v>
      </c>
      <c r="G51" s="105">
        <f>SUM(G25:G50)-G24</f>
        <v>27547.994999999999</v>
      </c>
      <c r="H51" s="105">
        <f>SUM(H25:H50)</f>
        <v>420</v>
      </c>
      <c r="I51" s="106">
        <f>SUM(I28:I30)</f>
        <v>330</v>
      </c>
      <c r="J51" s="19"/>
      <c r="K51" s="107"/>
      <c r="L51" s="19"/>
    </row>
    <row r="52" spans="1:12" ht="17" thickTop="1" x14ac:dyDescent="0.2"/>
  </sheetData>
  <mergeCells count="1">
    <mergeCell ref="A1:I2"/>
  </mergeCells>
  <phoneticPr fontId="22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opLeftCell="A2" workbookViewId="0">
      <selection activeCell="B16" sqref="B16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10" t="s">
        <v>130</v>
      </c>
      <c r="B7" s="110"/>
      <c r="C7" s="110"/>
      <c r="D7" s="110"/>
      <c r="E7" s="110"/>
      <c r="F7" s="110"/>
      <c r="G7" s="110"/>
      <c r="H7" s="110"/>
      <c r="I7" s="110"/>
    </row>
    <row r="8" spans="1:9" x14ac:dyDescent="0.2">
      <c r="A8" s="110"/>
      <c r="B8" s="110"/>
      <c r="C8" s="110"/>
      <c r="D8" s="110"/>
      <c r="E8" s="110"/>
      <c r="F8" s="110"/>
      <c r="G8" s="110"/>
      <c r="H8" s="110"/>
      <c r="I8" s="110"/>
    </row>
    <row r="9" spans="1:9" x14ac:dyDescent="0.2">
      <c r="A9" s="10"/>
      <c r="E9" s="25"/>
      <c r="F9" s="14"/>
    </row>
    <row r="12" spans="1:9" x14ac:dyDescent="0.2">
      <c r="C12" s="20"/>
    </row>
    <row r="13" spans="1:9" x14ac:dyDescent="0.2">
      <c r="B13" s="22"/>
      <c r="C13" s="24" t="s">
        <v>19</v>
      </c>
    </row>
    <row r="14" spans="1:9" x14ac:dyDescent="0.2">
      <c r="B14" s="10" t="s">
        <v>8</v>
      </c>
      <c r="C14" s="18">
        <f>'FOH &amp; BOH'!G51</f>
        <v>27547.994999999999</v>
      </c>
    </row>
    <row r="15" spans="1:9" x14ac:dyDescent="0.2">
      <c r="B15" s="10" t="s">
        <v>190</v>
      </c>
      <c r="C15" s="18">
        <f>'FOH &amp; BOH'!H51</f>
        <v>420</v>
      </c>
    </row>
    <row r="16" spans="1:9" x14ac:dyDescent="0.2">
      <c r="B16" s="10" t="s">
        <v>18</v>
      </c>
      <c r="C16" s="18">
        <f>'FOH &amp; BOH'!I51</f>
        <v>330</v>
      </c>
      <c r="E16" s="26"/>
    </row>
    <row r="17" spans="2:3" x14ac:dyDescent="0.2">
      <c r="B17" s="10" t="s">
        <v>17</v>
      </c>
      <c r="C17" s="18">
        <f>'HOLIDAYS AND NOTES'!F10</f>
        <v>2609.6</v>
      </c>
    </row>
    <row r="18" spans="2:3" ht="17" thickBot="1" x14ac:dyDescent="0.25">
      <c r="B18" s="19" t="s">
        <v>20</v>
      </c>
      <c r="C18" s="98">
        <f>SUM(C14:C17)</f>
        <v>30907.594999999998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E9" sqref="E9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25TH JUNE - 21 JULY 22 UGLY DUMPLING  TEAM</v>
      </c>
    </row>
    <row r="3" spans="1:9" x14ac:dyDescent="0.2">
      <c r="A3" s="111" t="s">
        <v>6</v>
      </c>
      <c r="B3" s="111"/>
      <c r="C3" s="111"/>
      <c r="D3" s="111"/>
      <c r="E3" s="111"/>
      <c r="F3" s="111"/>
      <c r="G3" s="111"/>
    </row>
    <row r="4" spans="1:9" ht="24" x14ac:dyDescent="0.3">
      <c r="A4" s="112"/>
      <c r="B4" s="112"/>
      <c r="C4" s="112"/>
      <c r="D4" s="112"/>
      <c r="E4" s="112"/>
      <c r="F4" s="112"/>
      <c r="G4" s="112"/>
    </row>
    <row r="5" spans="1:9" x14ac:dyDescent="0.2">
      <c r="A5" s="92" t="s">
        <v>1</v>
      </c>
      <c r="B5" s="92" t="s">
        <v>2</v>
      </c>
      <c r="C5" s="92" t="s">
        <v>3</v>
      </c>
      <c r="D5" s="92" t="s">
        <v>4</v>
      </c>
      <c r="E5" s="92" t="s">
        <v>5</v>
      </c>
      <c r="F5" s="92" t="s">
        <v>7</v>
      </c>
      <c r="G5" s="92" t="s">
        <v>100</v>
      </c>
    </row>
    <row r="6" spans="1:9" x14ac:dyDescent="0.2">
      <c r="A6" s="23" t="s">
        <v>191</v>
      </c>
      <c r="B6" s="11"/>
      <c r="C6" s="11"/>
      <c r="D6" s="89">
        <v>10</v>
      </c>
      <c r="E6" s="21">
        <f>7*8</f>
        <v>56</v>
      </c>
      <c r="F6" s="90">
        <f>D6*E6</f>
        <v>560</v>
      </c>
      <c r="G6" s="11"/>
    </row>
    <row r="7" spans="1:9" x14ac:dyDescent="0.2">
      <c r="A7" s="93" t="s">
        <v>9</v>
      </c>
      <c r="B7" s="94"/>
      <c r="C7" s="94"/>
      <c r="D7" s="95">
        <v>10.7</v>
      </c>
      <c r="E7" s="96">
        <f>12*8</f>
        <v>96</v>
      </c>
      <c r="F7" s="97">
        <f t="shared" ref="F7:F9" si="0">D7*E7</f>
        <v>1027.1999999999998</v>
      </c>
      <c r="G7" s="94"/>
    </row>
    <row r="8" spans="1:9" x14ac:dyDescent="0.2">
      <c r="A8" s="23" t="s">
        <v>115</v>
      </c>
      <c r="B8" s="11"/>
      <c r="C8" s="11"/>
      <c r="D8" s="89">
        <v>9</v>
      </c>
      <c r="E8" s="21">
        <f>3.5*8</f>
        <v>28</v>
      </c>
      <c r="F8" s="90">
        <f t="shared" si="0"/>
        <v>252</v>
      </c>
      <c r="G8" s="11"/>
    </row>
    <row r="9" spans="1:9" x14ac:dyDescent="0.2">
      <c r="A9" s="93"/>
      <c r="B9" s="94"/>
      <c r="C9" s="94"/>
      <c r="D9" s="95">
        <v>10.7</v>
      </c>
      <c r="E9" s="96">
        <f>9*8</f>
        <v>72</v>
      </c>
      <c r="F9" s="97">
        <f t="shared" si="0"/>
        <v>770.4</v>
      </c>
      <c r="G9" s="94"/>
    </row>
    <row r="10" spans="1:9" ht="17" thickBot="1" x14ac:dyDescent="0.25">
      <c r="A10" s="5" t="s">
        <v>7</v>
      </c>
      <c r="B10" s="6"/>
      <c r="C10" s="6"/>
      <c r="D10" s="6"/>
      <c r="E10" s="6"/>
      <c r="F10" s="12">
        <f>+SUM(F6:F9)</f>
        <v>2609.6</v>
      </c>
      <c r="G10" s="91"/>
    </row>
    <row r="11" spans="1:9" ht="17" thickTop="1" x14ac:dyDescent="0.2">
      <c r="A11" s="15"/>
      <c r="B11" s="13"/>
      <c r="C11" s="13"/>
      <c r="D11" s="13"/>
      <c r="E11" s="13"/>
      <c r="F11" s="16"/>
      <c r="G11" s="3"/>
    </row>
    <row r="12" spans="1:9" x14ac:dyDescent="0.2">
      <c r="A12" s="111"/>
      <c r="B12" s="111"/>
      <c r="C12" s="111"/>
      <c r="D12" s="111"/>
      <c r="E12" s="111"/>
      <c r="F12" s="111"/>
      <c r="G12" s="111"/>
      <c r="H12" s="4"/>
      <c r="I12" s="3"/>
    </row>
  </sheetData>
  <mergeCells count="3">
    <mergeCell ref="A12:G12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topLeftCell="A13" zoomScale="120" zoomScaleNormal="120" workbookViewId="0">
      <selection activeCell="B21" sqref="B21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25TH JUNE - 21 JULY 22 UGLY DUMPLING  TEAM</v>
      </c>
    </row>
    <row r="2" spans="1:12" x14ac:dyDescent="0.2">
      <c r="A2" s="27" t="s">
        <v>14</v>
      </c>
      <c r="B2" s="27"/>
    </row>
    <row r="4" spans="1:12" x14ac:dyDescent="0.2">
      <c r="A4" s="44"/>
      <c r="B4" s="45"/>
      <c r="C4" s="46"/>
      <c r="D4" s="46"/>
      <c r="E4" s="46"/>
      <c r="F4" s="46"/>
      <c r="G4" s="46"/>
      <c r="H4" s="46"/>
      <c r="I4" s="46"/>
      <c r="J4" s="46"/>
      <c r="K4" s="46"/>
      <c r="L4" s="47"/>
    </row>
    <row r="5" spans="1:12" x14ac:dyDescent="0.2">
      <c r="A5" s="44"/>
      <c r="B5" s="45"/>
      <c r="C5" s="46"/>
      <c r="D5" s="46"/>
      <c r="E5" s="46"/>
      <c r="F5" s="46"/>
      <c r="G5" s="46"/>
      <c r="H5" s="46"/>
      <c r="I5" s="46"/>
      <c r="J5" s="46"/>
      <c r="K5" s="46"/>
      <c r="L5" s="47"/>
    </row>
    <row r="6" spans="1:12" x14ac:dyDescent="0.2">
      <c r="A6" s="44"/>
      <c r="B6" s="45"/>
      <c r="C6" s="46"/>
      <c r="D6" s="46"/>
      <c r="E6" s="46"/>
      <c r="F6" s="46"/>
      <c r="G6" s="46"/>
      <c r="H6" s="46"/>
      <c r="I6" s="46"/>
      <c r="J6" s="46"/>
      <c r="K6" s="46"/>
      <c r="L6" s="47"/>
    </row>
    <row r="7" spans="1:12" x14ac:dyDescent="0.2">
      <c r="A7" s="44"/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</row>
    <row r="8" spans="1:12" x14ac:dyDescent="0.2">
      <c r="A8" s="44"/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2">
      <c r="A9" s="44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2">
      <c r="A10" s="44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s="50" customFormat="1" ht="19" x14ac:dyDescent="0.25">
      <c r="A11" s="48"/>
      <c r="B11" s="62" t="s">
        <v>114</v>
      </c>
      <c r="C11" s="62" t="s">
        <v>97</v>
      </c>
      <c r="D11" s="62"/>
      <c r="E11" s="62" t="s">
        <v>23</v>
      </c>
      <c r="F11" s="62" t="s">
        <v>22</v>
      </c>
      <c r="G11" s="62" t="s">
        <v>24</v>
      </c>
      <c r="H11" s="62" t="s">
        <v>105</v>
      </c>
      <c r="I11" s="62" t="s">
        <v>36</v>
      </c>
      <c r="J11" s="62" t="s">
        <v>49</v>
      </c>
      <c r="K11" s="62" t="s">
        <v>96</v>
      </c>
      <c r="L11" s="49"/>
    </row>
    <row r="12" spans="1:12" x14ac:dyDescent="0.2">
      <c r="A12" s="51"/>
      <c r="B12" s="69" t="s">
        <v>131</v>
      </c>
      <c r="C12" s="52"/>
      <c r="D12" s="52"/>
      <c r="E12" s="61"/>
      <c r="F12" s="53"/>
      <c r="G12" s="54"/>
      <c r="H12" s="55"/>
      <c r="I12" s="36"/>
      <c r="J12" s="36"/>
      <c r="K12" s="36"/>
      <c r="L12" s="56"/>
    </row>
    <row r="13" spans="1:12" x14ac:dyDescent="0.2">
      <c r="A13" s="51"/>
      <c r="B13" s="71" t="s">
        <v>132</v>
      </c>
      <c r="C13" s="39" t="s">
        <v>133</v>
      </c>
      <c r="D13" s="39"/>
      <c r="E13" s="43" t="s">
        <v>134</v>
      </c>
      <c r="F13" s="42" t="s">
        <v>135</v>
      </c>
      <c r="G13" s="40"/>
      <c r="H13" s="41"/>
      <c r="I13" s="37"/>
      <c r="J13" s="37"/>
      <c r="K13" s="37"/>
      <c r="L13" s="56"/>
    </row>
    <row r="14" spans="1:12" x14ac:dyDescent="0.2">
      <c r="A14" s="51"/>
      <c r="B14" s="69" t="s">
        <v>136</v>
      </c>
      <c r="C14" s="52" t="s">
        <v>137</v>
      </c>
      <c r="D14" s="52"/>
      <c r="E14" s="58" t="s">
        <v>138</v>
      </c>
      <c r="F14" s="57" t="s">
        <v>139</v>
      </c>
      <c r="G14" s="54"/>
      <c r="H14" s="55"/>
      <c r="I14" s="36"/>
      <c r="J14" s="36"/>
      <c r="K14" s="36"/>
      <c r="L14" s="56"/>
    </row>
    <row r="15" spans="1:12" x14ac:dyDescent="0.2">
      <c r="A15" s="51"/>
      <c r="B15" s="71" t="s">
        <v>140</v>
      </c>
      <c r="C15" s="39" t="s">
        <v>141</v>
      </c>
      <c r="D15" s="39"/>
      <c r="E15" s="43" t="s">
        <v>142</v>
      </c>
      <c r="F15" s="42" t="s">
        <v>143</v>
      </c>
      <c r="G15" s="40"/>
      <c r="H15" s="41"/>
      <c r="I15" s="37"/>
      <c r="J15" s="37"/>
      <c r="K15" s="37"/>
      <c r="L15" s="56"/>
    </row>
    <row r="16" spans="1:12" x14ac:dyDescent="0.2">
      <c r="A16" s="51"/>
      <c r="B16" s="69" t="s">
        <v>144</v>
      </c>
      <c r="C16" s="2" t="s">
        <v>145</v>
      </c>
      <c r="D16" s="52"/>
      <c r="E16" s="55">
        <v>37575256</v>
      </c>
      <c r="F16" s="65" t="s">
        <v>104</v>
      </c>
      <c r="G16" s="54"/>
      <c r="H16" s="55"/>
      <c r="I16" s="36"/>
      <c r="J16" s="36"/>
      <c r="K16" s="36"/>
      <c r="L16" s="56"/>
    </row>
    <row r="17" spans="1:12" x14ac:dyDescent="0.2">
      <c r="A17" s="44"/>
      <c r="B17" s="71" t="s">
        <v>146</v>
      </c>
      <c r="C17" s="39" t="s">
        <v>147</v>
      </c>
      <c r="D17" s="39"/>
      <c r="E17" s="43" t="s">
        <v>148</v>
      </c>
      <c r="F17" s="42" t="s">
        <v>149</v>
      </c>
      <c r="G17" s="40"/>
      <c r="H17" s="41"/>
      <c r="I17" s="37"/>
      <c r="J17" s="37"/>
      <c r="K17" s="37"/>
      <c r="L17" s="56"/>
    </row>
    <row r="18" spans="1:12" x14ac:dyDescent="0.2">
      <c r="A18" s="46"/>
      <c r="B18" s="69" t="s">
        <v>150</v>
      </c>
      <c r="C18" s="52" t="s">
        <v>151</v>
      </c>
      <c r="D18" s="60"/>
      <c r="E18" s="61" t="s">
        <v>152</v>
      </c>
      <c r="F18" s="53" t="s">
        <v>153</v>
      </c>
      <c r="G18" s="54"/>
      <c r="H18" s="55"/>
      <c r="I18" s="36"/>
      <c r="J18" s="68"/>
      <c r="K18" s="36"/>
      <c r="L18" s="56"/>
    </row>
    <row r="19" spans="1:12" x14ac:dyDescent="0.2">
      <c r="A19" s="44"/>
      <c r="B19" s="71" t="s">
        <v>154</v>
      </c>
      <c r="C19" s="39" t="s">
        <v>155</v>
      </c>
      <c r="D19" s="39"/>
      <c r="E19" s="43" t="s">
        <v>156</v>
      </c>
      <c r="F19" s="42" t="s">
        <v>143</v>
      </c>
      <c r="G19" s="40"/>
      <c r="H19" s="37"/>
      <c r="I19" s="37"/>
      <c r="J19" s="37"/>
      <c r="K19" s="37"/>
      <c r="L19" s="56"/>
    </row>
    <row r="20" spans="1:12" x14ac:dyDescent="0.2">
      <c r="A20" s="44"/>
      <c r="B20" s="69" t="s">
        <v>157</v>
      </c>
      <c r="C20" s="52" t="s">
        <v>158</v>
      </c>
      <c r="D20" s="52"/>
      <c r="E20" s="58" t="s">
        <v>159</v>
      </c>
      <c r="F20" s="57" t="s">
        <v>160</v>
      </c>
      <c r="G20" s="54"/>
      <c r="H20" s="36"/>
      <c r="I20" s="36"/>
      <c r="J20" s="36"/>
      <c r="K20" s="36"/>
      <c r="L20" s="56"/>
    </row>
    <row r="21" spans="1:12" x14ac:dyDescent="0.2">
      <c r="A21" s="46"/>
      <c r="B21" s="71" t="s">
        <v>161</v>
      </c>
      <c r="C21" s="39" t="s">
        <v>162</v>
      </c>
      <c r="D21" s="39"/>
      <c r="E21" s="43"/>
      <c r="F21" s="42"/>
      <c r="G21" s="1"/>
      <c r="H21" s="37"/>
      <c r="I21" s="37"/>
      <c r="J21" s="37"/>
      <c r="K21" s="37"/>
      <c r="L21" s="36"/>
    </row>
    <row r="22" spans="1:12" x14ac:dyDescent="0.2">
      <c r="A22" s="46"/>
      <c r="B22" s="69"/>
      <c r="C22" s="46"/>
      <c r="D22" s="46"/>
      <c r="E22" s="66"/>
      <c r="F22" s="67"/>
      <c r="H22" s="46"/>
      <c r="I22" s="46"/>
      <c r="J22" s="46"/>
      <c r="K22" s="46"/>
      <c r="L22" s="46"/>
    </row>
    <row r="23" spans="1:12" x14ac:dyDescent="0.2">
      <c r="B23" s="72"/>
      <c r="C23" s="17"/>
      <c r="D23" s="17"/>
      <c r="E23" s="73"/>
      <c r="F23" s="73"/>
      <c r="G23" s="17"/>
      <c r="H23" s="17"/>
      <c r="I23" s="17"/>
      <c r="J23" s="17"/>
      <c r="K23" s="17"/>
    </row>
    <row r="24" spans="1:12" x14ac:dyDescent="0.2">
      <c r="B24" s="70"/>
      <c r="E24" s="59"/>
      <c r="F24" s="65"/>
    </row>
    <row r="25" spans="1:12" x14ac:dyDescent="0.2">
      <c r="B25" s="72"/>
      <c r="C25" s="17"/>
      <c r="D25" s="17"/>
      <c r="E25" s="73"/>
      <c r="F25" s="73"/>
      <c r="G25" s="17"/>
      <c r="H25" s="17"/>
      <c r="I25" s="17"/>
      <c r="J25" s="17"/>
      <c r="K25" s="17"/>
    </row>
    <row r="26" spans="1:12" x14ac:dyDescent="0.2">
      <c r="B26" s="70"/>
      <c r="E26" s="65"/>
      <c r="F26" s="6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7"/>
  <sheetViews>
    <sheetView topLeftCell="A3" workbookViewId="0">
      <selection activeCell="E8" sqref="E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74</v>
      </c>
      <c r="D6" s="2" t="s">
        <v>65</v>
      </c>
      <c r="E6" s="2" t="s">
        <v>75</v>
      </c>
      <c r="F6" s="2" t="s">
        <v>79</v>
      </c>
      <c r="G6" s="2" t="s">
        <v>76</v>
      </c>
      <c r="I6" s="2" t="s">
        <v>77</v>
      </c>
      <c r="J6" s="2" t="s">
        <v>69</v>
      </c>
      <c r="K6" s="2" t="s">
        <v>99</v>
      </c>
      <c r="L6" s="2" t="s">
        <v>85</v>
      </c>
    </row>
    <row r="7" spans="1:12" x14ac:dyDescent="0.2">
      <c r="B7" s="2" t="s">
        <v>63</v>
      </c>
      <c r="C7" s="2">
        <v>205.82</v>
      </c>
      <c r="D7" s="2">
        <f>90*70</f>
        <v>6300</v>
      </c>
      <c r="E7" s="2">
        <f>15678+3500</f>
        <v>19178</v>
      </c>
      <c r="F7" s="2">
        <f>E7-D7</f>
        <v>12878</v>
      </c>
      <c r="G7" s="2">
        <f>C7-B14</f>
        <v>135.82</v>
      </c>
      <c r="H7" s="2">
        <f>G7*$B$12</f>
        <v>10186.5</v>
      </c>
      <c r="I7" s="2">
        <f>F7-H7</f>
        <v>2691.5</v>
      </c>
      <c r="J7" s="34">
        <f>I7*$B$11</f>
        <v>134.57500000000002</v>
      </c>
      <c r="K7" s="63">
        <f>J7/G7</f>
        <v>0.99083345604476536</v>
      </c>
      <c r="L7" s="38">
        <f>C7-B14</f>
        <v>135.82</v>
      </c>
    </row>
    <row r="8" spans="1:12" ht="17" customHeight="1" x14ac:dyDescent="0.2">
      <c r="B8" s="2" t="s">
        <v>64</v>
      </c>
      <c r="C8" s="2">
        <v>189.1</v>
      </c>
      <c r="D8" s="2">
        <f>$B$13*B15</f>
        <v>6300</v>
      </c>
      <c r="E8" s="2">
        <v>18141</v>
      </c>
      <c r="F8" s="2">
        <f t="shared" ref="F8" si="0">E8-D8</f>
        <v>11841</v>
      </c>
      <c r="G8" s="2">
        <f>C8-B15</f>
        <v>119.1</v>
      </c>
      <c r="H8" s="2">
        <f>G8*$B$12</f>
        <v>8932.5</v>
      </c>
      <c r="I8" s="2">
        <f>F8-H8</f>
        <v>2908.5</v>
      </c>
      <c r="J8" s="34">
        <f>I8*$B$11</f>
        <v>145.42500000000001</v>
      </c>
      <c r="K8" s="64">
        <f t="shared" ref="K8" si="1">J8/G8</f>
        <v>1.2210327455919396</v>
      </c>
      <c r="L8" s="38">
        <f>C8-B15</f>
        <v>119.1</v>
      </c>
    </row>
    <row r="10" spans="1:12" x14ac:dyDescent="0.2">
      <c r="A10" s="2" t="s">
        <v>70</v>
      </c>
    </row>
    <row r="11" spans="1:12" x14ac:dyDescent="0.2">
      <c r="A11" s="2" t="s">
        <v>71</v>
      </c>
      <c r="B11" s="2">
        <v>0.05</v>
      </c>
    </row>
    <row r="12" spans="1:12" x14ac:dyDescent="0.2">
      <c r="A12" s="2" t="s">
        <v>72</v>
      </c>
      <c r="B12" s="2">
        <v>75</v>
      </c>
    </row>
    <row r="13" spans="1:12" x14ac:dyDescent="0.2">
      <c r="A13" s="2" t="s">
        <v>73</v>
      </c>
      <c r="B13" s="2">
        <v>90</v>
      </c>
    </row>
    <row r="14" spans="1:12" x14ac:dyDescent="0.2">
      <c r="A14" s="27" t="s">
        <v>67</v>
      </c>
      <c r="B14" s="2">
        <v>70</v>
      </c>
    </row>
    <row r="15" spans="1:12" x14ac:dyDescent="0.2">
      <c r="A15" s="27" t="s">
        <v>66</v>
      </c>
      <c r="B15" s="2">
        <v>70</v>
      </c>
    </row>
    <row r="16" spans="1:12" x14ac:dyDescent="0.2">
      <c r="A16" s="27" t="s">
        <v>68</v>
      </c>
      <c r="B16" s="2">
        <v>20</v>
      </c>
    </row>
    <row r="17" spans="1:2" x14ac:dyDescent="0.2">
      <c r="A17" s="2" t="s">
        <v>78</v>
      </c>
      <c r="B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FOH &amp; BOH</vt:lpstr>
      <vt:lpstr>SUMMARY</vt:lpstr>
      <vt:lpstr>HOLIDAYS AND NOTES</vt:lpstr>
      <vt:lpstr>STARTERS DETAILS </vt:lpstr>
      <vt:lpstr>Dumpling Bonus </vt:lpstr>
      <vt:lpstr>'FOH &amp; BOH'!Print_Area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2022-09-26T14:47:54Z</dcterms:modified>
</cp:coreProperties>
</file>