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"/>
    </mc:Choice>
  </mc:AlternateContent>
  <xr:revisionPtr revIDLastSave="0" documentId="13_ncr:1_{970D0189-026A-5346-AA10-9BA908C15730}" xr6:coauthVersionLast="47" xr6:coauthVersionMax="47" xr10:uidLastSave="{00000000-0000-0000-0000-000000000000}"/>
  <bookViews>
    <workbookView xWindow="0" yWindow="500" windowWidth="28800" windowHeight="16480" tabRatio="500" activeTab="1" xr2:uid="{00000000-000D-0000-FFFF-FFFF00000000}"/>
  </bookViews>
  <sheets>
    <sheet name="SUMMARY" sheetId="3" r:id="rId1"/>
    <sheet name="FOH&amp;BOH 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9" i="8" l="1"/>
  <c r="I20" i="8"/>
  <c r="F7" i="2"/>
  <c r="F8" i="2"/>
  <c r="F9" i="2"/>
  <c r="F10" i="2"/>
  <c r="F11" i="2"/>
  <c r="E10" i="2"/>
  <c r="F20" i="8"/>
  <c r="H3" i="8"/>
  <c r="E11" i="2"/>
  <c r="E9" i="2"/>
  <c r="E8" i="2"/>
  <c r="E7" i="2"/>
  <c r="E6" i="2"/>
  <c r="F6" i="2" s="1"/>
  <c r="G12" i="2"/>
  <c r="G26" i="6"/>
  <c r="F26" i="6"/>
  <c r="F27" i="6"/>
  <c r="E25" i="6"/>
  <c r="D8" i="6"/>
  <c r="F8" i="6" s="1"/>
  <c r="E10" i="6"/>
  <c r="G30" i="8"/>
  <c r="G9" i="6"/>
  <c r="H9" i="6" s="1"/>
  <c r="G8" i="6"/>
  <c r="G10" i="6"/>
  <c r="H10" i="6" s="1"/>
  <c r="G11" i="6"/>
  <c r="F9" i="6"/>
  <c r="F10" i="6"/>
  <c r="F11" i="6"/>
  <c r="I11" i="6" s="1"/>
  <c r="D7" i="6"/>
  <c r="G37" i="8"/>
  <c r="G15" i="8"/>
  <c r="G14" i="8"/>
  <c r="G29" i="8"/>
  <c r="F12" i="2" l="1"/>
  <c r="C16" i="3" s="1"/>
  <c r="I10" i="6"/>
  <c r="J10" i="6" s="1"/>
  <c r="I9" i="6"/>
  <c r="J9" i="6" s="1"/>
  <c r="H8" i="6"/>
  <c r="I8" i="6" s="1"/>
  <c r="G20" i="8" l="1"/>
  <c r="G3" i="8"/>
  <c r="G4" i="8"/>
  <c r="G5" i="8"/>
  <c r="G6" i="8"/>
  <c r="G7" i="8"/>
  <c r="G8" i="8"/>
  <c r="G9" i="8"/>
  <c r="G10" i="8"/>
  <c r="G11" i="8"/>
  <c r="G12" i="8"/>
  <c r="G13" i="8"/>
  <c r="G17" i="8"/>
  <c r="G18" i="8"/>
  <c r="G19" i="8"/>
  <c r="G22" i="8"/>
  <c r="G23" i="8"/>
  <c r="G25" i="8"/>
  <c r="G26" i="8"/>
  <c r="G27" i="8"/>
  <c r="G28" i="8"/>
  <c r="G31" i="8"/>
  <c r="G32" i="8"/>
  <c r="G34" i="8"/>
  <c r="G35" i="8"/>
  <c r="G36" i="8"/>
  <c r="G38" i="8"/>
  <c r="G2" i="8"/>
  <c r="C61" i="8"/>
  <c r="I46" i="8" a="1"/>
  <c r="I46" i="8" s="1"/>
  <c r="G33" i="8"/>
  <c r="G24" i="8"/>
  <c r="I39" i="8"/>
  <c r="L7" i="6" l="1"/>
  <c r="F7" i="6" l="1"/>
  <c r="G7" i="6" l="1"/>
  <c r="F21" i="8" s="1"/>
  <c r="H7" i="6" l="1"/>
  <c r="G21" i="8"/>
  <c r="G39" i="8" s="1"/>
  <c r="C14" i="3" s="1"/>
  <c r="L8" i="6"/>
  <c r="I7" i="6" l="1"/>
  <c r="J7" i="6" s="1"/>
  <c r="J8" i="6"/>
  <c r="K8" i="6" l="1"/>
  <c r="H39" i="8"/>
  <c r="C15" i="3" s="1"/>
  <c r="K7" i="6" l="1"/>
  <c r="B1" i="4"/>
  <c r="C1" i="2"/>
  <c r="C1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<sst xmlns="http://schemas.openxmlformats.org/spreadsheetml/2006/main" count="221" uniqueCount="153">
  <si>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</si>
  <si>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</si>
  <si>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</si>
  <si>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</si>
  <si>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</si>
  <si>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</si>
  <si>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</si>
  <si>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</si>
  <si>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</si>
  <si>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</si>
  <si>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</si>
  <si>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</si>
  <si>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</si>
  <si>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</si>
  <si>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</si>
  <si>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</si>
  <si>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</si>
  <si>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</si>
  <si>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</si>
  <si>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</si>
  <si>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</si>
  <si>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</si>
  <si>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</si>
  <si>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</si>
  <si>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</si>
  <si>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</si>
  <si>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</si>
  <si>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</si>
  <si>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</si>
  <si>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</si>
  <si>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</si>
  <si>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</si>
  <si>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</si>
  <si>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</si>
  <si>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</si>
  <si>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</si>
  <si>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</si>
  <si>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</si>
  <si>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</si>
  <si>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</si>
  <si>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</si>
  <si>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</si>
  <si>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</si>
  <si>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</si>
  <si>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</si>
  <si>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</si>
  <si>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</si>
  <si>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</si>
  <si>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</si>
  <si>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</si>
  <si>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</si>
  <si>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Bonus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</si>
  <si>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</si>
  <si>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</si>
  <si>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</si>
  <si>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</si>
  <si>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</si>
  <si>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</si>
  <si>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</si>
  <si>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</si>
  <si>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</si>
  <si>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</si>
  <si>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</si>
  <si>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</si>
  <si>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</si>
  <si>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</si>
  <si>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</si>
  <si>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</si>
  <si>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</si>
  <si>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</si>
  <si>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</si>
  <si>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</si>
  <si>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</si>
  <si>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</si>
  <si>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</si>
  <si>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</si>
  <si>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</si>
  <si>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</si>
  <si>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</si>
  <si>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</si>
  <si>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</si>
  <si>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</si>
  <si>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</si>
  <si>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</si>
  <si>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</si>
  <si>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</si>
  <si>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</si>
  <si>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</si>
  <si>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</si>
  <si>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</si>
  <si>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</si>
  <si>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</si>
  <si>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</si>
  <si>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</si>
  <si>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</si>
  <si>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</si>
  <si>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Starter </t>
  </si>
  <si>
    <t xml:space="preserve">Ramos </t>
  </si>
  <si>
    <t>Hafiz Abdur</t>
  </si>
  <si>
    <t xml:space="preserve">Rahim </t>
  </si>
  <si>
    <t xml:space="preserve">Khong </t>
  </si>
  <si>
    <t xml:space="preserve">Setareh </t>
  </si>
  <si>
    <t xml:space="preserve">Saeedfar </t>
  </si>
  <si>
    <t xml:space="preserve">Manager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</si>
  <si>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</si>
  <si>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</si>
  <si>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</si>
  <si>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</si>
  <si>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</si>
  <si>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</si>
  <si>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</si>
  <si>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>Kitchen Ass. manager</t>
  </si>
  <si>
    <t xml:space="preserve">Durba </t>
  </si>
  <si>
    <t xml:space="preserve">Chandan </t>
  </si>
  <si>
    <t>Waiter</t>
  </si>
  <si>
    <t>Bank Account N</t>
  </si>
  <si>
    <t>hours</t>
  </si>
  <si>
    <t>Arun</t>
  </si>
  <si>
    <t xml:space="preserve">Leaver </t>
  </si>
  <si>
    <t>Kitchen Ass. Manager (training)</t>
  </si>
  <si>
    <t xml:space="preserve">Waiter </t>
  </si>
  <si>
    <t xml:space="preserve">Jin </t>
  </si>
  <si>
    <t xml:space="preserve">Chen </t>
  </si>
  <si>
    <t xml:space="preserve">Kimaya </t>
  </si>
  <si>
    <t xml:space="preserve">Francis </t>
  </si>
  <si>
    <t xml:space="preserve"> </t>
  </si>
  <si>
    <t>Hannah</t>
  </si>
  <si>
    <t>Lauber</t>
  </si>
  <si>
    <t>Waitwe</t>
  </si>
  <si>
    <t xml:space="preserve">Andrea </t>
  </si>
  <si>
    <t>Aakanksha</t>
  </si>
  <si>
    <t xml:space="preserve">Tasmin </t>
  </si>
  <si>
    <t xml:space="preserve">Akhter </t>
  </si>
  <si>
    <t xml:space="preserve">Roger </t>
  </si>
  <si>
    <t xml:space="preserve">Rodriguez </t>
  </si>
  <si>
    <t xml:space="preserve">Tamin </t>
  </si>
  <si>
    <t xml:space="preserve">Tammy </t>
  </si>
  <si>
    <t>§</t>
  </si>
  <si>
    <t>Mei Li (Tammy)</t>
  </si>
  <si>
    <t>pay increase £10</t>
  </si>
  <si>
    <t>pay rise 10</t>
  </si>
  <si>
    <t xml:space="preserve">Benedict William Edward </t>
  </si>
  <si>
    <t>PJ836970C</t>
  </si>
  <si>
    <t>90178799</t>
  </si>
  <si>
    <t>20.72.33</t>
  </si>
  <si>
    <t xml:space="preserve">Tamar </t>
  </si>
  <si>
    <t xml:space="preserve">David </t>
  </si>
  <si>
    <t>York</t>
  </si>
  <si>
    <t>Denedict  W. Edward</t>
  </si>
  <si>
    <t xml:space="preserve">Benjamin  </t>
  </si>
  <si>
    <t xml:space="preserve">Sergio </t>
  </si>
  <si>
    <t xml:space="preserve">Anny </t>
  </si>
  <si>
    <t>PAYROLL  19th of DEC to 21st of JAN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</si>
</sst>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b/>
      <sz val="10"/>
      <color theme="4" tint="0.59999389629810485"/>
      <name val="Calibri Light"/>
      <family val="2"/>
      <scheme val="major"/>
    </font>
    <font>
      <sz val="10"/>
      <color theme="4" tint="0.59999389629810485"/>
      <name val="Calibri Light"/>
      <family val="2"/>
      <scheme val="major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0" fillId="2" borderId="0" xfId="0" applyFont="1" applyFill="1" applyBorder="1" applyAlignment="1">
      <alignment horizontal="center" vertical="center"/>
    </xf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18" fillId="2" borderId="2" xfId="0" applyFont="1" applyFill="1" applyBorder="1" applyAlignment="1">
      <alignment horizontal="left" vertical="center"/>
    </xf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2" fillId="2" borderId="0" xfId="0" applyFont="1" applyFill="1" applyBorder="1"/>
    <xf numFmtId="0" fontId="22" fillId="2" borderId="0" xfId="0" applyFont="1" applyFill="1"/>
    <xf numFmtId="0" fontId="22" fillId="3" borderId="0" xfId="0" applyFont="1" applyFill="1" applyBorder="1"/>
    <xf numFmtId="0" fontId="22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3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7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164" fontId="6" fillId="2" borderId="0" xfId="78" applyFont="1" applyFill="1" applyBorder="1" applyAlignment="1">
      <alignment horizontal="right" vertical="center"/>
    </xf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3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7" fillId="2" borderId="0" xfId="0" applyFont="1" applyFill="1" applyBorder="1"/>
    <xf numFmtId="0" fontId="24" fillId="6" borderId="0" xfId="0" applyFont="1" applyFill="1"/>
    <xf numFmtId="0" fontId="25" fillId="6" borderId="0" xfId="0" applyFont="1" applyFill="1"/>
    <xf numFmtId="165" fontId="24" fillId="6" borderId="0" xfId="0" applyNumberFormat="1" applyFont="1" applyFill="1"/>
    <xf numFmtId="0" fontId="24" fillId="6" borderId="0" xfId="0" applyFont="1" applyFill="1" applyAlignment="1">
      <alignment horizontal="right" vertical="center"/>
    </xf>
    <xf numFmtId="164" fontId="24" fillId="6" borderId="0" xfId="0" applyNumberFormat="1" applyFont="1" applyFill="1"/>
    <xf numFmtId="0" fontId="26" fillId="6" borderId="0" xfId="0" applyFont="1" applyFill="1"/>
    <xf numFmtId="165" fontId="6" fillId="4" borderId="0" xfId="0" applyNumberFormat="1" applyFont="1" applyFill="1" applyAlignment="1">
      <alignment horizontal="right" vertical="center"/>
    </xf>
    <xf numFmtId="0" fontId="19" fillId="4" borderId="0" xfId="0" applyFont="1" applyFill="1"/>
    <xf numFmtId="6" fontId="6" fillId="2" borderId="0" xfId="0" applyNumberFormat="1" applyFont="1" applyFill="1"/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6" fillId="4" borderId="0" xfId="78" applyFont="1" applyFill="1" applyAlignment="1">
      <alignment horizontal="right" vertical="center"/>
    </xf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0" fontId="28" fillId="7" borderId="0" xfId="0" applyFont="1" applyFill="1"/>
    <xf numFmtId="165" fontId="29" fillId="7" borderId="0" xfId="0" applyNumberFormat="1" applyFont="1" applyFill="1"/>
    <xf numFmtId="0" fontId="28" fillId="7" borderId="0" xfId="0" applyFont="1" applyFill="1" applyBorder="1"/>
    <xf numFmtId="165" fontId="21" fillId="2" borderId="0" xfId="0" applyNumberFormat="1" applyFont="1" applyFill="1" applyBorder="1" applyAlignment="1">
      <alignment horizontal="right" vertical="center"/>
    </xf>
    <xf numFmtId="165" fontId="21" fillId="4" borderId="0" xfId="0" applyNumberFormat="1" applyFont="1" applyFill="1" applyBorder="1" applyAlignment="1">
      <alignment horizontal="right" vertical="center"/>
    </xf>
    <xf numFmtId="165" fontId="19" fillId="4" borderId="0" xfId="0" applyNumberFormat="1" applyFont="1" applyFill="1"/>
    <xf numFmtId="0" fontId="30" fillId="2" borderId="0" xfId="0" applyFont="1" applyFill="1"/>
    <xf numFmtId="44" fontId="9" fillId="2" borderId="0" xfId="0" applyNumberFormat="1" applyFont="1" applyFill="1" applyBorder="1" applyAlignment="1">
      <alignment horizontal="center" vertical="center"/>
    </xf>
    <xf numFmtId="0" fontId="31" fillId="2" borderId="0" xfId="0" applyFont="1" applyFill="1"/>
    <xf numFmtId="164" fontId="9" fillId="2" borderId="1" xfId="78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topLeftCell="A5" workbookViewId="0">
      <selection activeCell="H14" sqref="H14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19" t="s">
        <v>152</v>
      </c>
      <c r="B7" s="119"/>
      <c r="C7" s="119"/>
      <c r="D7" s="119"/>
      <c r="E7" s="119"/>
      <c r="F7" s="119"/>
      <c r="G7" s="119"/>
      <c r="H7" s="119"/>
      <c r="I7" s="119"/>
    </row>
    <row r="8" spans="1:9" x14ac:dyDescent="0.2">
      <c r="A8" s="119"/>
      <c r="B8" s="119"/>
      <c r="C8" s="119"/>
      <c r="D8" s="119"/>
      <c r="E8" s="119"/>
      <c r="F8" s="119"/>
      <c r="G8" s="119"/>
      <c r="H8" s="119"/>
      <c r="I8" s="119"/>
    </row>
    <row r="9" spans="1:9" x14ac:dyDescent="0.2">
      <c r="A9" s="10"/>
      <c r="E9" s="24"/>
      <c r="F9" s="13"/>
    </row>
    <row r="12" spans="1:9" x14ac:dyDescent="0.2">
      <c r="C12" s="19"/>
    </row>
    <row r="13" spans="1:9" x14ac:dyDescent="0.2">
      <c r="B13" s="21"/>
      <c r="C13" s="23" t="s">
        <v>18</v>
      </c>
    </row>
    <row r="14" spans="1:9" x14ac:dyDescent="0.2">
      <c r="B14" s="10" t="s">
        <v>8</v>
      </c>
      <c r="C14" s="17">
        <f>'FOH&amp;BOH '!G39</f>
        <v>36834.824000000008</v>
      </c>
    </row>
    <row r="15" spans="1:9" x14ac:dyDescent="0.2">
      <c r="B15" s="10" t="s">
        <v>110</v>
      </c>
      <c r="C15" s="17">
        <f>'FOH&amp;BOH '!H39</f>
        <v>340</v>
      </c>
    </row>
    <row r="16" spans="1:9" x14ac:dyDescent="0.2">
      <c r="B16" s="10" t="s">
        <v>17</v>
      </c>
      <c r="C16" s="17">
        <f>'HOLIDAYS AND NOTES'!F12</f>
        <v>6632.8</v>
      </c>
    </row>
    <row r="17" spans="2:3" ht="17" thickBot="1" x14ac:dyDescent="0.25">
      <c r="B17" s="18" t="s">
        <v>19</v>
      </c>
      <c r="C17" s="79">
        <f>SUM(C14:C16)</f>
        <v>43807.624000000011</v>
      </c>
    </row>
    <row r="18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L61"/>
  <sheetViews>
    <sheetView tabSelected="1" zoomScale="102" zoomScaleNormal="102" workbookViewId="0">
      <selection activeCell="F20" sqref="F20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8.33203125" style="2" bestFit="1" customWidth="1"/>
    <col min="10" max="10" width="10" style="2" customWidth="1"/>
    <col min="11" max="11" width="20.1640625" style="2" customWidth="1"/>
    <col min="12" max="12" width="18.6640625" style="2" customWidth="1"/>
    <col min="13" max="16384" width="10.83203125" style="2"/>
  </cols>
  <sheetData>
    <row r="1" spans="1:12" x14ac:dyDescent="0.2">
      <c r="A1" s="27" t="s">
        <v>0</v>
      </c>
      <c r="B1" s="27" t="s">
        <v>1</v>
      </c>
      <c r="C1" s="27" t="s">
        <v>2</v>
      </c>
      <c r="D1" s="27" t="s">
        <v>49</v>
      </c>
      <c r="E1" s="27" t="s">
        <v>55</v>
      </c>
      <c r="F1" s="27" t="s">
        <v>5</v>
      </c>
      <c r="G1" s="27" t="s">
        <v>50</v>
      </c>
      <c r="H1" s="27" t="s">
        <v>58</v>
      </c>
      <c r="I1" s="27" t="s">
        <v>51</v>
      </c>
      <c r="J1" s="27" t="s">
        <v>52</v>
      </c>
      <c r="K1" s="27" t="s">
        <v>53</v>
      </c>
      <c r="L1" s="27" t="s">
        <v>54</v>
      </c>
    </row>
    <row r="2" spans="1:12" x14ac:dyDescent="0.2">
      <c r="A2" s="4" t="s">
        <v>15</v>
      </c>
      <c r="B2" s="4" t="s">
        <v>37</v>
      </c>
      <c r="C2" s="4" t="s">
        <v>38</v>
      </c>
      <c r="D2" s="90" t="s">
        <v>11</v>
      </c>
      <c r="E2" s="91">
        <v>10</v>
      </c>
      <c r="F2" s="90">
        <v>104.48</v>
      </c>
      <c r="G2" s="92">
        <f>E2*F2</f>
        <v>1044.8</v>
      </c>
      <c r="H2" s="93">
        <v>80</v>
      </c>
      <c r="I2" s="94"/>
      <c r="J2" s="4"/>
      <c r="K2" s="95">
        <v>2.5</v>
      </c>
      <c r="L2" s="4"/>
    </row>
    <row r="3" spans="1:12" x14ac:dyDescent="0.2">
      <c r="A3" s="7" t="s">
        <v>89</v>
      </c>
      <c r="B3" s="66" t="s">
        <v>26</v>
      </c>
      <c r="C3" s="66" t="s">
        <v>27</v>
      </c>
      <c r="D3" s="66" t="s">
        <v>11</v>
      </c>
      <c r="E3" s="122">
        <v>11</v>
      </c>
      <c r="F3" s="66">
        <v>154.19999999999999</v>
      </c>
      <c r="G3" s="67">
        <f t="shared" ref="G3:G36" si="0">E3*F3</f>
        <v>1696.1999999999998</v>
      </c>
      <c r="H3" s="72">
        <f>150</f>
        <v>150</v>
      </c>
      <c r="I3" s="8"/>
      <c r="J3" s="7"/>
      <c r="K3" s="68">
        <v>4</v>
      </c>
      <c r="L3" s="7"/>
    </row>
    <row r="4" spans="1:12" x14ac:dyDescent="0.2">
      <c r="A4" s="96" t="s">
        <v>103</v>
      </c>
      <c r="B4" s="97" t="s">
        <v>39</v>
      </c>
      <c r="C4" s="97" t="s">
        <v>40</v>
      </c>
      <c r="D4" s="90" t="s">
        <v>11</v>
      </c>
      <c r="E4" s="98">
        <v>11</v>
      </c>
      <c r="F4" s="90">
        <v>64.39</v>
      </c>
      <c r="G4" s="92">
        <f t="shared" si="0"/>
        <v>708.29</v>
      </c>
      <c r="H4" s="93">
        <v>40</v>
      </c>
      <c r="I4" s="94"/>
      <c r="J4" s="4"/>
      <c r="K4" s="95">
        <v>3.5</v>
      </c>
      <c r="L4" s="4"/>
    </row>
    <row r="5" spans="1:12" x14ac:dyDescent="0.2">
      <c r="A5" s="7" t="s">
        <v>89</v>
      </c>
      <c r="B5" s="9" t="s">
        <v>77</v>
      </c>
      <c r="C5" s="7" t="s">
        <v>78</v>
      </c>
      <c r="D5" s="66" t="s">
        <v>11</v>
      </c>
      <c r="E5" s="68">
        <v>11</v>
      </c>
      <c r="F5" s="66">
        <v>138.91</v>
      </c>
      <c r="G5" s="67">
        <f t="shared" si="0"/>
        <v>1528.01</v>
      </c>
      <c r="H5" s="8">
        <v>90</v>
      </c>
      <c r="I5" s="8"/>
      <c r="J5" s="7"/>
      <c r="K5" s="68">
        <v>3</v>
      </c>
      <c r="L5" s="8"/>
    </row>
    <row r="6" spans="1:12" x14ac:dyDescent="0.2">
      <c r="A6" s="4" t="s">
        <v>15</v>
      </c>
      <c r="B6" s="96" t="s">
        <v>57</v>
      </c>
      <c r="C6" s="4" t="s">
        <v>56</v>
      </c>
      <c r="D6" s="90" t="s">
        <v>11</v>
      </c>
      <c r="E6" s="95">
        <v>9.5</v>
      </c>
      <c r="F6" s="90">
        <v>29</v>
      </c>
      <c r="G6" s="92">
        <f t="shared" si="0"/>
        <v>275.5</v>
      </c>
      <c r="H6" s="94"/>
      <c r="I6" s="94"/>
      <c r="J6" s="4"/>
      <c r="K6" s="95">
        <v>1</v>
      </c>
      <c r="L6" s="118"/>
    </row>
    <row r="7" spans="1:12" x14ac:dyDescent="0.2">
      <c r="A7" s="123" t="s">
        <v>120</v>
      </c>
      <c r="B7" s="124" t="s">
        <v>122</v>
      </c>
      <c r="C7" s="123" t="s">
        <v>121</v>
      </c>
      <c r="D7" s="66" t="s">
        <v>11</v>
      </c>
      <c r="E7" s="125">
        <v>9</v>
      </c>
      <c r="F7" s="66">
        <v>30.05</v>
      </c>
      <c r="G7" s="67">
        <f t="shared" si="0"/>
        <v>270.45</v>
      </c>
      <c r="H7" s="126"/>
      <c r="I7" s="126"/>
      <c r="J7" s="123"/>
      <c r="K7" s="125">
        <v>0.5</v>
      </c>
      <c r="L7" s="123"/>
    </row>
    <row r="8" spans="1:12" x14ac:dyDescent="0.2">
      <c r="A8" s="10" t="s">
        <v>15</v>
      </c>
      <c r="B8" s="99" t="s">
        <v>104</v>
      </c>
      <c r="C8" s="10" t="s">
        <v>105</v>
      </c>
      <c r="D8" s="90" t="s">
        <v>11</v>
      </c>
      <c r="E8" s="100">
        <v>9</v>
      </c>
      <c r="F8" s="90">
        <v>130.97999999999999</v>
      </c>
      <c r="G8" s="92">
        <f t="shared" si="0"/>
        <v>1178.82</v>
      </c>
      <c r="H8" s="101"/>
      <c r="I8" s="101"/>
      <c r="J8" s="10"/>
      <c r="K8" s="100">
        <v>1</v>
      </c>
      <c r="L8" s="10"/>
    </row>
    <row r="9" spans="1:12" x14ac:dyDescent="0.2">
      <c r="A9" s="123" t="s">
        <v>15</v>
      </c>
      <c r="B9" s="124" t="s">
        <v>131</v>
      </c>
      <c r="C9" s="123" t="s">
        <v>132</v>
      </c>
      <c r="D9" s="66" t="s">
        <v>11</v>
      </c>
      <c r="E9" s="125">
        <v>8</v>
      </c>
      <c r="F9" s="66">
        <v>81.97</v>
      </c>
      <c r="G9" s="67">
        <f t="shared" si="0"/>
        <v>655.76</v>
      </c>
      <c r="H9" s="126"/>
      <c r="I9" s="126"/>
      <c r="J9" s="123"/>
      <c r="K9" s="125">
        <v>0.5</v>
      </c>
      <c r="L9" s="123"/>
    </row>
    <row r="10" spans="1:12" x14ac:dyDescent="0.2">
      <c r="A10" s="10" t="s">
        <v>15</v>
      </c>
      <c r="B10" s="99" t="s">
        <v>106</v>
      </c>
      <c r="C10" s="10" t="s">
        <v>107</v>
      </c>
      <c r="D10" s="90" t="s">
        <v>11</v>
      </c>
      <c r="E10" s="100">
        <v>8.5</v>
      </c>
      <c r="F10" s="90">
        <v>58.87</v>
      </c>
      <c r="G10" s="92">
        <f t="shared" si="0"/>
        <v>500.39499999999998</v>
      </c>
      <c r="H10" s="101"/>
      <c r="I10" s="101"/>
      <c r="J10" s="10"/>
      <c r="K10" s="100">
        <v>0.5</v>
      </c>
      <c r="L10" s="10"/>
    </row>
    <row r="11" spans="1:12" x14ac:dyDescent="0.2">
      <c r="A11" s="123" t="s">
        <v>15</v>
      </c>
      <c r="B11" s="124" t="s">
        <v>126</v>
      </c>
      <c r="C11" s="123" t="s">
        <v>127</v>
      </c>
      <c r="D11" s="66" t="s">
        <v>11</v>
      </c>
      <c r="E11" s="125">
        <v>9.5</v>
      </c>
      <c r="F11" s="66">
        <v>152.46</v>
      </c>
      <c r="G11" s="67">
        <f t="shared" si="0"/>
        <v>1448.3700000000001</v>
      </c>
      <c r="H11" s="126"/>
      <c r="I11" s="126"/>
      <c r="J11" s="123"/>
      <c r="K11" s="125">
        <v>0.5</v>
      </c>
      <c r="L11" s="123"/>
    </row>
    <row r="12" spans="1:12" x14ac:dyDescent="0.2">
      <c r="A12" s="10" t="s">
        <v>15</v>
      </c>
      <c r="B12" s="99" t="s">
        <v>123</v>
      </c>
      <c r="C12" s="10" t="s">
        <v>124</v>
      </c>
      <c r="D12" s="90" t="s">
        <v>11</v>
      </c>
      <c r="E12" s="100">
        <v>9.5</v>
      </c>
      <c r="F12" s="90">
        <v>67.55</v>
      </c>
      <c r="G12" s="92">
        <f t="shared" si="0"/>
        <v>641.72500000000002</v>
      </c>
      <c r="H12" s="101"/>
      <c r="I12" s="101"/>
      <c r="J12" s="10"/>
      <c r="K12" s="100">
        <v>0.5</v>
      </c>
      <c r="L12" s="135" t="s">
        <v>118</v>
      </c>
    </row>
    <row r="13" spans="1:12" x14ac:dyDescent="0.2">
      <c r="A13" s="123" t="s">
        <v>114</v>
      </c>
      <c r="B13" s="124" t="s">
        <v>112</v>
      </c>
      <c r="C13" s="123" t="s">
        <v>113</v>
      </c>
      <c r="D13" s="66" t="s">
        <v>11</v>
      </c>
      <c r="E13" s="125">
        <v>10</v>
      </c>
      <c r="F13" s="66">
        <v>126.62</v>
      </c>
      <c r="G13" s="67">
        <f t="shared" si="0"/>
        <v>1266.2</v>
      </c>
      <c r="H13" s="126"/>
      <c r="I13" s="126"/>
      <c r="J13" s="123"/>
      <c r="K13" s="125">
        <v>1</v>
      </c>
      <c r="L13" s="123" t="s">
        <v>139</v>
      </c>
    </row>
    <row r="14" spans="1:12" x14ac:dyDescent="0.2">
      <c r="A14" s="10" t="s">
        <v>128</v>
      </c>
      <c r="B14" s="99" t="s">
        <v>148</v>
      </c>
      <c r="C14" s="10" t="s">
        <v>147</v>
      </c>
      <c r="D14" s="90" t="s">
        <v>11</v>
      </c>
      <c r="E14" s="100">
        <v>9.5</v>
      </c>
      <c r="F14" s="90">
        <v>71.86</v>
      </c>
      <c r="G14" s="92">
        <f>E14*F14</f>
        <v>682.67</v>
      </c>
      <c r="H14" s="101"/>
      <c r="I14" s="101"/>
      <c r="J14" s="10"/>
      <c r="K14" s="100">
        <v>0.5</v>
      </c>
      <c r="L14" s="10" t="s">
        <v>96</v>
      </c>
    </row>
    <row r="15" spans="1:12" x14ac:dyDescent="0.2">
      <c r="A15" s="123" t="s">
        <v>15</v>
      </c>
      <c r="B15" s="124" t="s">
        <v>129</v>
      </c>
      <c r="C15" s="123" t="s">
        <v>130</v>
      </c>
      <c r="D15" s="66" t="s">
        <v>11</v>
      </c>
      <c r="E15" s="125">
        <v>9.5</v>
      </c>
      <c r="F15" s="66">
        <v>109.9</v>
      </c>
      <c r="G15" s="67">
        <f t="shared" si="0"/>
        <v>1044.05</v>
      </c>
      <c r="H15" s="126"/>
      <c r="I15" s="126"/>
      <c r="J15" s="123"/>
      <c r="K15" s="125">
        <v>1</v>
      </c>
      <c r="L15" s="123" t="s">
        <v>96</v>
      </c>
    </row>
    <row r="16" spans="1:12" x14ac:dyDescent="0.2">
      <c r="A16" s="127"/>
      <c r="B16" s="127"/>
      <c r="C16" s="127"/>
      <c r="D16" s="127"/>
      <c r="E16" s="127"/>
      <c r="F16" s="127"/>
      <c r="G16" s="128"/>
      <c r="H16" s="127"/>
      <c r="I16" s="129"/>
      <c r="J16" s="129"/>
      <c r="K16" s="129"/>
      <c r="L16" s="129"/>
    </row>
    <row r="17" spans="1:12" x14ac:dyDescent="0.2">
      <c r="A17" s="96" t="s">
        <v>28</v>
      </c>
      <c r="B17" s="97" t="s">
        <v>29</v>
      </c>
      <c r="C17" s="97" t="s">
        <v>30</v>
      </c>
      <c r="D17" s="90" t="s">
        <v>11</v>
      </c>
      <c r="E17" s="102">
        <v>10</v>
      </c>
      <c r="F17" s="97">
        <v>0</v>
      </c>
      <c r="G17" s="92">
        <f t="shared" si="0"/>
        <v>0</v>
      </c>
      <c r="H17" s="103"/>
      <c r="I17" s="92"/>
      <c r="J17" s="4"/>
      <c r="K17" s="95"/>
      <c r="L17" s="104"/>
    </row>
    <row r="18" spans="1:12" x14ac:dyDescent="0.2">
      <c r="A18" s="7" t="s">
        <v>16</v>
      </c>
      <c r="B18" s="7" t="s">
        <v>9</v>
      </c>
      <c r="C18" s="7" t="s">
        <v>10</v>
      </c>
      <c r="D18" s="66" t="s">
        <v>11</v>
      </c>
      <c r="E18" s="116">
        <v>10.7</v>
      </c>
      <c r="F18" s="7">
        <v>149.4</v>
      </c>
      <c r="G18" s="67">
        <f t="shared" si="0"/>
        <v>1598.58</v>
      </c>
      <c r="H18" s="72">
        <v>100</v>
      </c>
      <c r="I18" s="8"/>
      <c r="J18" s="7"/>
      <c r="K18" s="68"/>
      <c r="L18" s="80"/>
    </row>
    <row r="19" spans="1:12" x14ac:dyDescent="0.2">
      <c r="A19" s="96" t="s">
        <v>16</v>
      </c>
      <c r="B19" s="96" t="s">
        <v>23</v>
      </c>
      <c r="C19" s="96" t="s">
        <v>24</v>
      </c>
      <c r="D19" s="90" t="s">
        <v>11</v>
      </c>
      <c r="E19" s="102">
        <v>10.7</v>
      </c>
      <c r="F19" s="96">
        <f>83.8</f>
        <v>83.8</v>
      </c>
      <c r="G19" s="92">
        <f t="shared" si="0"/>
        <v>896.65999999999985</v>
      </c>
      <c r="H19" s="93"/>
      <c r="I19" s="94"/>
      <c r="J19" s="4"/>
      <c r="K19" s="95"/>
      <c r="L19" s="105"/>
    </row>
    <row r="20" spans="1:12" x14ac:dyDescent="0.2">
      <c r="A20" s="9" t="s">
        <v>20</v>
      </c>
      <c r="B20" s="69" t="s">
        <v>48</v>
      </c>
      <c r="C20" s="69" t="s">
        <v>25</v>
      </c>
      <c r="D20" s="66" t="s">
        <v>11</v>
      </c>
      <c r="E20" s="131">
        <v>9.5</v>
      </c>
      <c r="F20" s="71">
        <f>'Dumpling Bonus '!G8</f>
        <v>127.82</v>
      </c>
      <c r="G20" s="67">
        <f t="shared" si="0"/>
        <v>1214.29</v>
      </c>
      <c r="H20" s="72"/>
      <c r="I20" s="8">
        <f>'Dumpling Bonus '!L8</f>
        <v>127.82</v>
      </c>
      <c r="J20" s="7"/>
      <c r="K20" s="68"/>
      <c r="L20" s="81"/>
    </row>
    <row r="21" spans="1:12" x14ac:dyDescent="0.2">
      <c r="A21" s="4" t="s">
        <v>20</v>
      </c>
      <c r="B21" s="96" t="s">
        <v>13</v>
      </c>
      <c r="C21" s="96" t="s">
        <v>12</v>
      </c>
      <c r="D21" s="90" t="s">
        <v>11</v>
      </c>
      <c r="E21" s="130">
        <v>11</v>
      </c>
      <c r="F21" s="106">
        <f>'Dumpling Bonus '!G7+8</f>
        <v>144.9</v>
      </c>
      <c r="G21" s="92">
        <f>E21*F21</f>
        <v>1593.9</v>
      </c>
      <c r="H21" s="107"/>
      <c r="I21" s="107"/>
      <c r="J21" s="4"/>
      <c r="K21" s="95">
        <v>1</v>
      </c>
      <c r="L21" s="104"/>
    </row>
    <row r="22" spans="1:12" x14ac:dyDescent="0.2">
      <c r="A22" s="7" t="s">
        <v>20</v>
      </c>
      <c r="B22" s="9" t="s">
        <v>74</v>
      </c>
      <c r="C22" s="9" t="s">
        <v>75</v>
      </c>
      <c r="D22" s="66" t="s">
        <v>11</v>
      </c>
      <c r="E22" s="70">
        <v>9.5</v>
      </c>
      <c r="F22" s="71">
        <v>0</v>
      </c>
      <c r="G22" s="67">
        <f t="shared" si="0"/>
        <v>0</v>
      </c>
      <c r="H22" s="73"/>
      <c r="I22" s="73"/>
      <c r="J22" s="7"/>
      <c r="K22" s="68"/>
      <c r="L22" s="81"/>
    </row>
    <row r="23" spans="1:12" x14ac:dyDescent="0.2">
      <c r="A23" s="4" t="s">
        <v>31</v>
      </c>
      <c r="B23" s="4" t="s">
        <v>33</v>
      </c>
      <c r="C23" s="4" t="s">
        <v>34</v>
      </c>
      <c r="D23" s="90" t="s">
        <v>11</v>
      </c>
      <c r="E23" s="102">
        <v>10</v>
      </c>
      <c r="F23" s="4">
        <v>179.07</v>
      </c>
      <c r="G23" s="92">
        <f t="shared" si="0"/>
        <v>1790.6999999999998</v>
      </c>
      <c r="H23" s="94">
        <v>70</v>
      </c>
      <c r="I23" s="94"/>
      <c r="J23" s="4"/>
      <c r="K23" s="95">
        <v>1</v>
      </c>
      <c r="L23" s="105" t="s">
        <v>140</v>
      </c>
    </row>
    <row r="24" spans="1:12" x14ac:dyDescent="0.2">
      <c r="A24" s="7" t="s">
        <v>43</v>
      </c>
      <c r="B24" s="7" t="s">
        <v>36</v>
      </c>
      <c r="C24" s="7" t="s">
        <v>35</v>
      </c>
      <c r="D24" s="66" t="s">
        <v>11</v>
      </c>
      <c r="E24" s="70">
        <v>10</v>
      </c>
      <c r="F24" s="117">
        <v>85</v>
      </c>
      <c r="G24" s="67">
        <f t="shared" si="0"/>
        <v>850</v>
      </c>
      <c r="H24" s="8"/>
      <c r="I24" s="8"/>
      <c r="J24" s="7"/>
      <c r="K24" s="68">
        <v>3</v>
      </c>
      <c r="L24" s="81"/>
    </row>
    <row r="25" spans="1:12" x14ac:dyDescent="0.2">
      <c r="A25" s="4" t="s">
        <v>43</v>
      </c>
      <c r="B25" s="4" t="s">
        <v>41</v>
      </c>
      <c r="C25" s="4" t="s">
        <v>42</v>
      </c>
      <c r="D25" s="90" t="s">
        <v>11</v>
      </c>
      <c r="E25" s="102">
        <v>9</v>
      </c>
      <c r="F25" s="4">
        <v>55.52</v>
      </c>
      <c r="G25" s="92">
        <f t="shared" si="0"/>
        <v>499.68</v>
      </c>
      <c r="H25" s="94"/>
      <c r="I25" s="94"/>
      <c r="J25" s="4"/>
      <c r="K25" s="95">
        <v>0.5</v>
      </c>
      <c r="L25" s="105"/>
    </row>
    <row r="26" spans="1:12" x14ac:dyDescent="0.2">
      <c r="A26" s="7" t="s">
        <v>43</v>
      </c>
      <c r="B26" s="9" t="s">
        <v>46</v>
      </c>
      <c r="C26" s="7" t="s">
        <v>47</v>
      </c>
      <c r="D26" s="66" t="s">
        <v>11</v>
      </c>
      <c r="E26" s="8">
        <v>8.5</v>
      </c>
      <c r="F26" s="74">
        <v>104.17</v>
      </c>
      <c r="G26" s="67">
        <f t="shared" si="0"/>
        <v>885.44500000000005</v>
      </c>
      <c r="H26" s="8"/>
      <c r="I26" s="8"/>
      <c r="J26" s="7"/>
      <c r="K26" s="68">
        <v>0.5</v>
      </c>
      <c r="L26" s="81"/>
    </row>
    <row r="27" spans="1:12" x14ac:dyDescent="0.2">
      <c r="A27" s="4" t="s">
        <v>43</v>
      </c>
      <c r="B27" s="96" t="s">
        <v>79</v>
      </c>
      <c r="C27" s="4" t="s">
        <v>80</v>
      </c>
      <c r="D27" s="90" t="s">
        <v>11</v>
      </c>
      <c r="E27" s="94">
        <v>9</v>
      </c>
      <c r="F27" s="108">
        <v>80.180000000000007</v>
      </c>
      <c r="G27" s="92">
        <f t="shared" si="0"/>
        <v>721.62000000000012</v>
      </c>
      <c r="H27" s="94"/>
      <c r="I27" s="94"/>
      <c r="J27" s="4"/>
      <c r="K27" s="95">
        <v>1</v>
      </c>
      <c r="L27" s="104"/>
    </row>
    <row r="28" spans="1:12" x14ac:dyDescent="0.2">
      <c r="A28" s="7" t="s">
        <v>119</v>
      </c>
      <c r="B28" s="9" t="s">
        <v>82</v>
      </c>
      <c r="C28" s="7" t="s">
        <v>81</v>
      </c>
      <c r="D28" s="66" t="s">
        <v>11</v>
      </c>
      <c r="E28" s="8">
        <v>10</v>
      </c>
      <c r="F28" s="74">
        <v>131.04</v>
      </c>
      <c r="G28" s="67">
        <f t="shared" si="0"/>
        <v>1310.3999999999999</v>
      </c>
      <c r="H28" s="132">
        <v>80</v>
      </c>
      <c r="I28" s="8"/>
      <c r="J28" s="7"/>
      <c r="K28" s="68">
        <v>1</v>
      </c>
      <c r="L28" s="81"/>
    </row>
    <row r="29" spans="1:12" x14ac:dyDescent="0.2">
      <c r="A29" s="4" t="s">
        <v>20</v>
      </c>
      <c r="B29" s="96" t="s">
        <v>83</v>
      </c>
      <c r="C29" s="4" t="s">
        <v>84</v>
      </c>
      <c r="D29" s="90" t="s">
        <v>11</v>
      </c>
      <c r="E29" s="94">
        <v>9.5</v>
      </c>
      <c r="F29" s="108">
        <v>228.2</v>
      </c>
      <c r="G29" s="92">
        <f t="shared" si="0"/>
        <v>2167.9</v>
      </c>
      <c r="H29" s="94"/>
      <c r="I29" s="94" t="s">
        <v>125</v>
      </c>
      <c r="J29" s="4"/>
      <c r="K29" s="95"/>
      <c r="L29" s="104"/>
    </row>
    <row r="30" spans="1:12" x14ac:dyDescent="0.2">
      <c r="A30" s="7" t="s">
        <v>20</v>
      </c>
      <c r="B30" s="9" t="s">
        <v>138</v>
      </c>
      <c r="C30" s="7" t="s">
        <v>100</v>
      </c>
      <c r="D30" s="66" t="s">
        <v>11</v>
      </c>
      <c r="E30" s="8">
        <v>10</v>
      </c>
      <c r="F30" s="74">
        <v>33.11</v>
      </c>
      <c r="G30" s="67">
        <f>E30*F30</f>
        <v>331.1</v>
      </c>
      <c r="H30" s="8"/>
      <c r="I30" s="8"/>
      <c r="J30" s="7"/>
      <c r="K30" s="68"/>
      <c r="L30" s="81"/>
    </row>
    <row r="31" spans="1:12" x14ac:dyDescent="0.2">
      <c r="A31" s="4" t="s">
        <v>43</v>
      </c>
      <c r="B31" s="96" t="s">
        <v>93</v>
      </c>
      <c r="C31" s="4" t="s">
        <v>91</v>
      </c>
      <c r="D31" s="90" t="s">
        <v>11</v>
      </c>
      <c r="E31" s="94">
        <v>10</v>
      </c>
      <c r="F31" s="108">
        <v>76.040000000000006</v>
      </c>
      <c r="G31" s="92">
        <f t="shared" si="0"/>
        <v>760.40000000000009</v>
      </c>
      <c r="H31" s="94"/>
      <c r="I31" s="94"/>
      <c r="J31" s="4"/>
      <c r="K31" s="95">
        <v>2</v>
      </c>
      <c r="L31" s="104"/>
    </row>
    <row r="32" spans="1:12" x14ac:dyDescent="0.2">
      <c r="A32" s="7" t="s">
        <v>43</v>
      </c>
      <c r="B32" s="9" t="s">
        <v>94</v>
      </c>
      <c r="C32" s="7" t="s">
        <v>92</v>
      </c>
      <c r="D32" s="66" t="s">
        <v>11</v>
      </c>
      <c r="E32" s="8">
        <v>9.5</v>
      </c>
      <c r="F32" s="74">
        <v>66.06</v>
      </c>
      <c r="G32" s="67">
        <f t="shared" si="0"/>
        <v>627.57000000000005</v>
      </c>
      <c r="H32" s="8"/>
      <c r="I32" s="8"/>
      <c r="J32" s="7"/>
      <c r="K32" s="68">
        <v>2</v>
      </c>
      <c r="L32" s="81"/>
    </row>
    <row r="33" spans="1:12" x14ac:dyDescent="0.2">
      <c r="A33" s="109" t="s">
        <v>43</v>
      </c>
      <c r="B33" s="110" t="s">
        <v>98</v>
      </c>
      <c r="C33" s="110" t="s">
        <v>99</v>
      </c>
      <c r="D33" s="111" t="s">
        <v>11</v>
      </c>
      <c r="E33" s="112">
        <v>9.5</v>
      </c>
      <c r="F33" s="113">
        <v>139.88</v>
      </c>
      <c r="G33" s="92">
        <f t="shared" si="0"/>
        <v>1328.86</v>
      </c>
      <c r="H33" s="112"/>
      <c r="I33" s="112"/>
      <c r="J33" s="110"/>
      <c r="K33" s="114">
        <v>1</v>
      </c>
      <c r="L33" s="115"/>
    </row>
    <row r="34" spans="1:12" x14ac:dyDescent="0.2">
      <c r="A34" s="89" t="s">
        <v>111</v>
      </c>
      <c r="B34" s="9" t="s">
        <v>101</v>
      </c>
      <c r="C34" s="7" t="s">
        <v>102</v>
      </c>
      <c r="D34" s="66" t="s">
        <v>11</v>
      </c>
      <c r="E34" s="8">
        <v>10.7</v>
      </c>
      <c r="F34" s="74">
        <v>178.2</v>
      </c>
      <c r="G34" s="67">
        <f t="shared" si="0"/>
        <v>1906.7399999999998</v>
      </c>
      <c r="H34" s="8"/>
      <c r="I34" s="8"/>
      <c r="J34" s="7"/>
      <c r="K34" s="68">
        <v>1</v>
      </c>
      <c r="L34" s="80"/>
    </row>
    <row r="35" spans="1:12" x14ac:dyDescent="0.2">
      <c r="A35" s="4" t="s">
        <v>43</v>
      </c>
      <c r="B35" s="96" t="s">
        <v>108</v>
      </c>
      <c r="C35" s="4" t="s">
        <v>109</v>
      </c>
      <c r="D35" s="90" t="s">
        <v>11</v>
      </c>
      <c r="E35" s="94">
        <v>10</v>
      </c>
      <c r="F35" s="108">
        <v>73.45</v>
      </c>
      <c r="G35" s="92">
        <f t="shared" si="0"/>
        <v>734.5</v>
      </c>
      <c r="H35" s="94"/>
      <c r="I35" s="94"/>
      <c r="J35" s="4"/>
      <c r="K35" s="95">
        <v>1.5</v>
      </c>
      <c r="L35" s="104"/>
    </row>
    <row r="36" spans="1:12" x14ac:dyDescent="0.2">
      <c r="A36" s="7" t="s">
        <v>43</v>
      </c>
      <c r="B36" s="9" t="s">
        <v>44</v>
      </c>
      <c r="C36" s="7" t="s">
        <v>97</v>
      </c>
      <c r="D36" s="66" t="s">
        <v>11</v>
      </c>
      <c r="E36" s="8">
        <v>10.7</v>
      </c>
      <c r="F36" s="74">
        <v>165.27</v>
      </c>
      <c r="G36" s="67">
        <f t="shared" si="0"/>
        <v>1768.3889999999999</v>
      </c>
      <c r="H36" s="8">
        <v>90</v>
      </c>
      <c r="I36" s="8"/>
      <c r="J36" s="7"/>
      <c r="K36" s="68">
        <v>1</v>
      </c>
      <c r="L36" s="80"/>
    </row>
    <row r="37" spans="1:12" x14ac:dyDescent="0.2">
      <c r="A37" s="4" t="s">
        <v>43</v>
      </c>
      <c r="B37" s="96" t="s">
        <v>133</v>
      </c>
      <c r="C37" s="4" t="s">
        <v>134</v>
      </c>
      <c r="D37" s="90" t="s">
        <v>11</v>
      </c>
      <c r="E37" s="94">
        <v>10</v>
      </c>
      <c r="F37" s="108">
        <v>209.84</v>
      </c>
      <c r="G37" s="94">
        <f>E37*F37</f>
        <v>2098.4</v>
      </c>
      <c r="H37" s="94"/>
      <c r="I37" s="94"/>
      <c r="J37" s="4"/>
      <c r="K37" s="95">
        <v>1.5</v>
      </c>
      <c r="L37" s="105"/>
    </row>
    <row r="38" spans="1:12" x14ac:dyDescent="0.2">
      <c r="A38" s="7" t="s">
        <v>43</v>
      </c>
      <c r="B38" s="123" t="s">
        <v>117</v>
      </c>
      <c r="C38" s="7"/>
      <c r="D38" s="66" t="s">
        <v>11</v>
      </c>
      <c r="E38" s="8">
        <v>9.5</v>
      </c>
      <c r="F38" s="74">
        <v>85.1</v>
      </c>
      <c r="G38" s="67">
        <f>E38*F38</f>
        <v>808.44999999999993</v>
      </c>
      <c r="H38" s="8"/>
      <c r="I38" s="8"/>
      <c r="J38" s="7"/>
      <c r="K38" s="68">
        <v>1</v>
      </c>
      <c r="L38" s="81"/>
    </row>
    <row r="39" spans="1:12" ht="17" thickBot="1" x14ac:dyDescent="0.25">
      <c r="A39" s="18"/>
      <c r="B39" s="82"/>
      <c r="C39" s="18"/>
      <c r="D39" s="83"/>
      <c r="E39" s="84"/>
      <c r="F39" s="85"/>
      <c r="G39" s="86">
        <f>SUM(G2:G38)</f>
        <v>36834.824000000008</v>
      </c>
      <c r="H39" s="86">
        <f>SUM(H17:H38)</f>
        <v>340</v>
      </c>
      <c r="I39" s="87">
        <f>SUM(I20:I22)</f>
        <v>127.82</v>
      </c>
      <c r="J39" s="18"/>
      <c r="K39" s="88"/>
      <c r="L39" s="18"/>
    </row>
    <row r="40" spans="1:12" ht="17" thickTop="1" x14ac:dyDescent="0.2"/>
    <row r="46" spans="1:12" x14ac:dyDescent="0.2">
      <c r="I46" s="2" t="e" cm="1">
        <f t="array" ref="I46">5*tr</f>
        <v>#NAME?</v>
      </c>
    </row>
    <row r="61" spans="3:3" x14ac:dyDescent="0.2">
      <c r="C61" s="2">
        <f>2*3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4"/>
  <sheetViews>
    <sheetView workbookViewId="0">
      <selection activeCell="I16" sqref="I16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 19th of DEC to 21st of JAN UGLY DUMPLING  TEAM</v>
      </c>
    </row>
    <row r="3" spans="1:9" x14ac:dyDescent="0.2">
      <c r="A3" s="120" t="s">
        <v>6</v>
      </c>
      <c r="B3" s="120"/>
      <c r="C3" s="120"/>
      <c r="D3" s="120"/>
      <c r="E3" s="120"/>
      <c r="F3" s="120"/>
      <c r="G3" s="120"/>
    </row>
    <row r="4" spans="1:9" ht="24" x14ac:dyDescent="0.3">
      <c r="A4" s="121"/>
      <c r="B4" s="121"/>
      <c r="C4" s="121"/>
      <c r="D4" s="121"/>
      <c r="E4" s="121"/>
      <c r="F4" s="121"/>
      <c r="G4" s="121"/>
    </row>
    <row r="5" spans="1:9" x14ac:dyDescent="0.2">
      <c r="A5" s="78" t="s">
        <v>1</v>
      </c>
      <c r="B5" s="78" t="s">
        <v>2</v>
      </c>
      <c r="C5" s="78" t="s">
        <v>3</v>
      </c>
      <c r="D5" s="78" t="s">
        <v>4</v>
      </c>
      <c r="E5" s="78" t="s">
        <v>5</v>
      </c>
      <c r="F5" s="78" t="s">
        <v>7</v>
      </c>
      <c r="G5" s="78" t="s">
        <v>88</v>
      </c>
    </row>
    <row r="6" spans="1:9" x14ac:dyDescent="0.2">
      <c r="A6" s="22" t="s">
        <v>9</v>
      </c>
      <c r="B6" s="11"/>
      <c r="C6" s="11"/>
      <c r="D6" s="75">
        <v>10.7</v>
      </c>
      <c r="E6" s="20">
        <f>8*3</f>
        <v>24</v>
      </c>
      <c r="F6" s="76">
        <f>+D6*E6</f>
        <v>256.79999999999995</v>
      </c>
      <c r="G6" s="134"/>
    </row>
    <row r="7" spans="1:9" x14ac:dyDescent="0.2">
      <c r="A7" s="22" t="s">
        <v>145</v>
      </c>
      <c r="B7" s="11"/>
      <c r="C7" s="11"/>
      <c r="D7" s="75">
        <v>10</v>
      </c>
      <c r="E7" s="20">
        <f>17*8</f>
        <v>136</v>
      </c>
      <c r="F7" s="76">
        <f t="shared" ref="F7:F11" si="0">+D7*E7</f>
        <v>1360</v>
      </c>
      <c r="G7" s="134"/>
    </row>
    <row r="8" spans="1:9" x14ac:dyDescent="0.2">
      <c r="A8" s="22" t="s">
        <v>33</v>
      </c>
      <c r="B8" s="11"/>
      <c r="C8" s="11"/>
      <c r="D8" s="75">
        <v>9.5</v>
      </c>
      <c r="E8" s="20">
        <f>15*8</f>
        <v>120</v>
      </c>
      <c r="F8" s="76">
        <f t="shared" si="0"/>
        <v>1140</v>
      </c>
      <c r="G8" s="134"/>
    </row>
    <row r="9" spans="1:9" x14ac:dyDescent="0.2">
      <c r="A9" s="22" t="s">
        <v>146</v>
      </c>
      <c r="B9" s="11"/>
      <c r="C9" s="11"/>
      <c r="D9" s="75">
        <v>11</v>
      </c>
      <c r="E9" s="20">
        <f>15*8</f>
        <v>120</v>
      </c>
      <c r="F9" s="76">
        <f t="shared" si="0"/>
        <v>1320</v>
      </c>
      <c r="G9" s="134"/>
    </row>
    <row r="10" spans="1:9" x14ac:dyDescent="0.2">
      <c r="A10" s="22" t="s">
        <v>151</v>
      </c>
      <c r="B10" s="11"/>
      <c r="C10" s="11"/>
      <c r="D10" s="75">
        <v>9.5</v>
      </c>
      <c r="E10" s="20">
        <f>7*8</f>
        <v>56</v>
      </c>
      <c r="F10" s="76">
        <f t="shared" si="0"/>
        <v>532</v>
      </c>
      <c r="G10" s="134"/>
    </row>
    <row r="11" spans="1:9" x14ac:dyDescent="0.2">
      <c r="A11" s="22" t="s">
        <v>150</v>
      </c>
      <c r="B11" s="11"/>
      <c r="C11" s="11"/>
      <c r="D11" s="75">
        <v>11</v>
      </c>
      <c r="E11" s="20">
        <f>23*8</f>
        <v>184</v>
      </c>
      <c r="F11" s="76">
        <f t="shared" si="0"/>
        <v>2024</v>
      </c>
      <c r="G11" s="11"/>
    </row>
    <row r="12" spans="1:9" ht="17" thickBot="1" x14ac:dyDescent="0.25">
      <c r="A12" s="5" t="s">
        <v>7</v>
      </c>
      <c r="B12" s="6"/>
      <c r="C12" s="6"/>
      <c r="D12" s="6"/>
      <c r="E12" s="6"/>
      <c r="F12" s="136">
        <f>+SUM(F6:F11)</f>
        <v>6632.8</v>
      </c>
      <c r="G12" s="77">
        <f>G6+G7+G8</f>
        <v>0</v>
      </c>
    </row>
    <row r="13" spans="1:9" ht="17" thickTop="1" x14ac:dyDescent="0.2">
      <c r="A13" s="14"/>
      <c r="B13" s="12"/>
      <c r="C13" s="12"/>
      <c r="D13" s="12"/>
      <c r="E13" s="12"/>
      <c r="F13" s="15"/>
      <c r="G13" s="3"/>
    </row>
    <row r="14" spans="1:9" x14ac:dyDescent="0.2">
      <c r="A14" s="120"/>
      <c r="B14" s="120"/>
      <c r="C14" s="120"/>
      <c r="D14" s="120"/>
      <c r="E14" s="120"/>
      <c r="F14" s="120"/>
      <c r="G14" s="120"/>
      <c r="H14" s="4"/>
      <c r="I14" s="3"/>
    </row>
  </sheetData>
  <mergeCells count="3">
    <mergeCell ref="A14:G14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B1" sqref="B1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19th of DEC to 21st of JAN UGLY DUMPLING  TEAM</v>
      </c>
    </row>
    <row r="2" spans="1:12" x14ac:dyDescent="0.2">
      <c r="A2" s="25" t="s">
        <v>14</v>
      </c>
      <c r="B2" s="25"/>
    </row>
    <row r="4" spans="1:12" x14ac:dyDescent="0.2">
      <c r="A4" s="36"/>
      <c r="B4" s="37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x14ac:dyDescent="0.2">
      <c r="A5" s="36"/>
      <c r="B5" s="37"/>
      <c r="C5" s="38"/>
      <c r="D5" s="38"/>
      <c r="E5" s="38"/>
      <c r="F5" s="38"/>
      <c r="G5" s="38"/>
      <c r="H5" s="38"/>
      <c r="I5" s="38"/>
      <c r="J5" s="38"/>
      <c r="K5" s="38"/>
      <c r="L5" s="39"/>
    </row>
    <row r="6" spans="1:12" x14ac:dyDescent="0.2">
      <c r="A6" s="36"/>
      <c r="B6" s="37"/>
      <c r="C6" s="38"/>
      <c r="D6" s="38"/>
      <c r="E6" s="38"/>
      <c r="F6" s="38"/>
      <c r="G6" s="38"/>
      <c r="H6" s="38"/>
      <c r="I6" s="38"/>
      <c r="J6" s="38"/>
      <c r="K6" s="38"/>
      <c r="L6" s="39"/>
    </row>
    <row r="7" spans="1:12" x14ac:dyDescent="0.2">
      <c r="A7" s="36"/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1:12" x14ac:dyDescent="0.2">
      <c r="A8" s="36"/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2">
      <c r="A9" s="36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2">
      <c r="A10" s="36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42" customFormat="1" ht="19" x14ac:dyDescent="0.25">
      <c r="A11" s="40"/>
      <c r="B11" s="54" t="s">
        <v>95</v>
      </c>
      <c r="C11" s="54" t="s">
        <v>86</v>
      </c>
      <c r="D11" s="54"/>
      <c r="E11" s="54" t="s">
        <v>115</v>
      </c>
      <c r="F11" s="54" t="s">
        <v>21</v>
      </c>
      <c r="G11" s="54" t="s">
        <v>22</v>
      </c>
      <c r="H11" s="54" t="s">
        <v>90</v>
      </c>
      <c r="I11" s="54" t="s">
        <v>32</v>
      </c>
      <c r="J11" s="54" t="s">
        <v>45</v>
      </c>
      <c r="K11" s="54" t="s">
        <v>85</v>
      </c>
      <c r="L11" s="41"/>
    </row>
    <row r="12" spans="1:12" x14ac:dyDescent="0.2">
      <c r="A12" s="43"/>
      <c r="B12" s="61" t="s">
        <v>141</v>
      </c>
      <c r="C12" s="44" t="s">
        <v>142</v>
      </c>
      <c r="D12" s="44"/>
      <c r="E12" s="53" t="s">
        <v>143</v>
      </c>
      <c r="F12" s="45" t="s">
        <v>144</v>
      </c>
      <c r="G12" s="46"/>
      <c r="H12" s="47"/>
      <c r="I12" s="28"/>
      <c r="J12" s="28"/>
      <c r="K12" s="28"/>
      <c r="L12" s="48"/>
    </row>
    <row r="13" spans="1:12" x14ac:dyDescent="0.2">
      <c r="A13" s="43"/>
      <c r="B13" s="63" t="s">
        <v>57</v>
      </c>
      <c r="C13" s="31"/>
      <c r="D13" s="31"/>
      <c r="E13" s="35"/>
      <c r="F13" s="34"/>
      <c r="G13" s="32"/>
      <c r="H13" s="33"/>
      <c r="I13" s="29"/>
      <c r="J13" s="29"/>
      <c r="K13" s="29"/>
      <c r="L13" s="48"/>
    </row>
    <row r="14" spans="1:12" x14ac:dyDescent="0.2">
      <c r="A14" s="43"/>
      <c r="B14" s="61" t="s">
        <v>149</v>
      </c>
      <c r="C14" s="44"/>
      <c r="D14" s="44"/>
      <c r="E14" s="50"/>
      <c r="F14" s="49"/>
      <c r="G14" s="46"/>
      <c r="H14" s="47"/>
      <c r="I14" s="28"/>
      <c r="J14" s="28"/>
      <c r="K14" s="28"/>
      <c r="L14" s="48"/>
    </row>
    <row r="15" spans="1:12" x14ac:dyDescent="0.2">
      <c r="A15" s="43"/>
      <c r="B15" s="63"/>
      <c r="C15" s="31"/>
      <c r="D15" s="31"/>
      <c r="E15" s="35"/>
      <c r="F15" s="34"/>
      <c r="G15" s="32"/>
      <c r="H15" s="33"/>
      <c r="I15" s="29"/>
      <c r="J15" s="29"/>
      <c r="K15" s="29"/>
      <c r="L15" s="48"/>
    </row>
    <row r="16" spans="1:12" x14ac:dyDescent="0.2">
      <c r="A16" s="43"/>
      <c r="B16" s="61"/>
      <c r="D16" s="44"/>
      <c r="E16" s="47"/>
      <c r="F16" s="57"/>
      <c r="G16" s="46"/>
      <c r="H16" s="47"/>
      <c r="I16" s="28"/>
      <c r="J16" s="28"/>
      <c r="K16" s="28"/>
      <c r="L16" s="48"/>
    </row>
    <row r="17" spans="1:12" x14ac:dyDescent="0.2">
      <c r="A17" s="36"/>
      <c r="B17" s="63"/>
      <c r="C17" s="31"/>
      <c r="D17" s="31"/>
      <c r="E17" s="35"/>
      <c r="F17" s="34"/>
      <c r="G17" s="32"/>
      <c r="H17" s="33"/>
      <c r="I17" s="29"/>
      <c r="J17" s="29"/>
      <c r="K17" s="29"/>
      <c r="L17" s="48"/>
    </row>
    <row r="18" spans="1:12" x14ac:dyDescent="0.2">
      <c r="A18" s="38"/>
      <c r="B18" s="61"/>
      <c r="C18" s="44"/>
      <c r="D18" s="52"/>
      <c r="E18" s="53"/>
      <c r="F18" s="45"/>
      <c r="G18" s="46"/>
      <c r="H18" s="47"/>
      <c r="I18" s="28"/>
      <c r="J18" s="60"/>
      <c r="K18" s="28"/>
      <c r="L18" s="48"/>
    </row>
    <row r="19" spans="1:12" x14ac:dyDescent="0.2">
      <c r="A19" s="36"/>
      <c r="B19" s="63"/>
      <c r="C19" s="31"/>
      <c r="D19" s="31"/>
      <c r="E19" s="35"/>
      <c r="F19" s="34"/>
      <c r="G19" s="32"/>
      <c r="H19" s="29"/>
      <c r="I19" s="29"/>
      <c r="J19" s="29"/>
      <c r="K19" s="29"/>
      <c r="L19" s="48"/>
    </row>
    <row r="20" spans="1:12" x14ac:dyDescent="0.2">
      <c r="A20" s="36"/>
      <c r="B20" s="61"/>
      <c r="C20" s="44"/>
      <c r="D20" s="44"/>
      <c r="E20" s="50"/>
      <c r="F20" s="49"/>
      <c r="G20" s="46"/>
      <c r="H20" s="28"/>
      <c r="I20" s="28"/>
      <c r="J20" s="28"/>
      <c r="K20" s="28"/>
      <c r="L20" s="48"/>
    </row>
    <row r="21" spans="1:12" x14ac:dyDescent="0.2">
      <c r="A21" s="38"/>
      <c r="B21" s="63"/>
      <c r="C21" s="31"/>
      <c r="D21" s="31"/>
      <c r="E21" s="35"/>
      <c r="F21" s="34"/>
      <c r="G21" s="1"/>
      <c r="H21" s="29"/>
      <c r="I21" s="29"/>
      <c r="J21" s="29"/>
      <c r="K21" s="29"/>
      <c r="L21" s="28"/>
    </row>
    <row r="22" spans="1:12" x14ac:dyDescent="0.2">
      <c r="A22" s="38"/>
      <c r="B22" s="61"/>
      <c r="C22" s="38"/>
      <c r="D22" s="38"/>
      <c r="E22" s="58"/>
      <c r="F22" s="59"/>
      <c r="H22" s="38"/>
      <c r="I22" s="38"/>
      <c r="J22" s="38"/>
      <c r="K22" s="38"/>
      <c r="L22" s="38"/>
    </row>
    <row r="23" spans="1:12" x14ac:dyDescent="0.2">
      <c r="B23" s="64"/>
      <c r="C23" s="16"/>
      <c r="D23" s="16"/>
      <c r="E23" s="65"/>
      <c r="F23" s="65"/>
      <c r="G23" s="16"/>
      <c r="H23" s="16"/>
      <c r="I23" s="16"/>
      <c r="J23" s="16"/>
      <c r="K23" s="16"/>
    </row>
    <row r="24" spans="1:12" x14ac:dyDescent="0.2">
      <c r="B24" s="62"/>
      <c r="E24" s="51"/>
      <c r="F24" s="57"/>
    </row>
    <row r="25" spans="1:12" x14ac:dyDescent="0.2">
      <c r="B25" s="64"/>
      <c r="C25" s="16"/>
      <c r="D25" s="16"/>
      <c r="E25" s="65"/>
      <c r="F25" s="65"/>
      <c r="G25" s="16"/>
      <c r="H25" s="16"/>
      <c r="I25" s="16"/>
      <c r="J25" s="16"/>
      <c r="K25" s="16"/>
    </row>
    <row r="26" spans="1:12" x14ac:dyDescent="0.2">
      <c r="B26" s="62"/>
      <c r="E26" s="57"/>
      <c r="F26" s="57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2" workbookViewId="0">
      <selection activeCell="G7" sqref="G7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69</v>
      </c>
      <c r="D6" s="2" t="s">
        <v>61</v>
      </c>
      <c r="E6" s="2" t="s">
        <v>70</v>
      </c>
      <c r="F6" s="2" t="s">
        <v>73</v>
      </c>
      <c r="G6" s="2" t="s">
        <v>71</v>
      </c>
      <c r="I6" s="2" t="s">
        <v>72</v>
      </c>
      <c r="J6" s="2" t="s">
        <v>64</v>
      </c>
      <c r="K6" s="2" t="s">
        <v>87</v>
      </c>
      <c r="L6" s="2" t="s">
        <v>76</v>
      </c>
    </row>
    <row r="7" spans="1:12" x14ac:dyDescent="0.2">
      <c r="B7" s="2" t="s">
        <v>59</v>
      </c>
      <c r="C7" s="2">
        <v>216.9</v>
      </c>
      <c r="D7" s="2">
        <f>90*70</f>
        <v>6300</v>
      </c>
      <c r="E7" s="2">
        <v>15693</v>
      </c>
      <c r="F7" s="2">
        <f>E7-D7</f>
        <v>9393</v>
      </c>
      <c r="G7" s="2">
        <f>C7-B16</f>
        <v>136.9</v>
      </c>
      <c r="H7" s="2">
        <f>G7*$B$14</f>
        <v>10267.5</v>
      </c>
      <c r="I7" s="2">
        <f>F7-H7</f>
        <v>-874.5</v>
      </c>
      <c r="J7" s="26">
        <f>I7*$B$13</f>
        <v>-43.725000000000001</v>
      </c>
      <c r="K7" s="55">
        <f>J7/G7</f>
        <v>-0.31939371804236671</v>
      </c>
      <c r="L7" s="30">
        <f>C7-B16</f>
        <v>136.9</v>
      </c>
    </row>
    <row r="8" spans="1:12" ht="17" customHeight="1" x14ac:dyDescent="0.2">
      <c r="B8" s="2" t="s">
        <v>60</v>
      </c>
      <c r="C8" s="2">
        <v>167.82</v>
      </c>
      <c r="D8" s="2">
        <f>$B$15*B17</f>
        <v>3600</v>
      </c>
      <c r="E8" s="2">
        <v>15164</v>
      </c>
      <c r="F8" s="2">
        <f t="shared" ref="F8:F11" si="0">E8-D8</f>
        <v>11564</v>
      </c>
      <c r="G8" s="2">
        <f t="shared" ref="G8:G11" si="1">C8-B17</f>
        <v>127.82</v>
      </c>
      <c r="H8" s="2">
        <f t="shared" ref="H8:H10" si="2">G8*$B$14</f>
        <v>9586.5</v>
      </c>
      <c r="I8" s="2">
        <f t="shared" ref="I8:I11" si="3">F8-H8</f>
        <v>1977.5</v>
      </c>
      <c r="J8" s="26">
        <f t="shared" ref="J8:J10" si="4">I8*$B$13</f>
        <v>98.875</v>
      </c>
      <c r="K8" s="56">
        <f>J8/G8</f>
        <v>0.77354874041621036</v>
      </c>
      <c r="L8" s="30">
        <f>C8-B17</f>
        <v>127.82</v>
      </c>
    </row>
    <row r="9" spans="1:12" ht="17" customHeight="1" x14ac:dyDescent="0.2">
      <c r="B9" s="2" t="s">
        <v>136</v>
      </c>
      <c r="C9" s="2">
        <v>143.49</v>
      </c>
      <c r="E9" s="2">
        <v>12728</v>
      </c>
      <c r="F9" s="2">
        <f t="shared" si="0"/>
        <v>12728</v>
      </c>
      <c r="G9" s="2">
        <f>C9-B18</f>
        <v>143.49</v>
      </c>
      <c r="H9" s="2">
        <f t="shared" si="2"/>
        <v>10761.75</v>
      </c>
      <c r="I9" s="2">
        <f>F9-H9</f>
        <v>1966.25</v>
      </c>
      <c r="J9" s="26">
        <f t="shared" si="4"/>
        <v>98.3125</v>
      </c>
      <c r="K9" s="56"/>
      <c r="L9" s="30"/>
    </row>
    <row r="10" spans="1:12" ht="17" customHeight="1" x14ac:dyDescent="0.2">
      <c r="B10" s="2" t="s">
        <v>83</v>
      </c>
      <c r="C10" s="2">
        <v>197.49</v>
      </c>
      <c r="E10" s="2">
        <f>+E7</f>
        <v>15693</v>
      </c>
      <c r="F10" s="2">
        <f t="shared" si="0"/>
        <v>15693</v>
      </c>
      <c r="G10" s="2">
        <f t="shared" si="1"/>
        <v>197.49</v>
      </c>
      <c r="H10" s="2">
        <f t="shared" si="2"/>
        <v>14811.75</v>
      </c>
      <c r="I10" s="2">
        <f t="shared" si="3"/>
        <v>881.25</v>
      </c>
      <c r="J10" s="26">
        <f t="shared" si="4"/>
        <v>44.0625</v>
      </c>
      <c r="K10" s="56"/>
      <c r="L10" s="30"/>
    </row>
    <row r="11" spans="1:12" x14ac:dyDescent="0.2">
      <c r="F11" s="2">
        <f t="shared" si="0"/>
        <v>0</v>
      </c>
      <c r="G11" s="2">
        <f t="shared" si="1"/>
        <v>0</v>
      </c>
      <c r="I11" s="2">
        <f t="shared" si="3"/>
        <v>0</v>
      </c>
    </row>
    <row r="12" spans="1:12" x14ac:dyDescent="0.2">
      <c r="A12" s="133" t="s">
        <v>65</v>
      </c>
    </row>
    <row r="13" spans="1:12" x14ac:dyDescent="0.2">
      <c r="A13" s="2" t="s">
        <v>66</v>
      </c>
      <c r="B13" s="2">
        <v>0.05</v>
      </c>
    </row>
    <row r="14" spans="1:12" x14ac:dyDescent="0.2">
      <c r="A14" s="2" t="s">
        <v>67</v>
      </c>
      <c r="B14" s="2">
        <v>75</v>
      </c>
    </row>
    <row r="15" spans="1:12" x14ac:dyDescent="0.2">
      <c r="A15" s="2" t="s">
        <v>68</v>
      </c>
      <c r="B15" s="2">
        <v>90</v>
      </c>
    </row>
    <row r="16" spans="1:12" x14ac:dyDescent="0.2">
      <c r="A16" s="25" t="s">
        <v>63</v>
      </c>
      <c r="B16" s="2">
        <v>80</v>
      </c>
      <c r="C16" s="2" t="s">
        <v>116</v>
      </c>
    </row>
    <row r="17" spans="1:7" x14ac:dyDescent="0.2">
      <c r="A17" s="25" t="s">
        <v>62</v>
      </c>
      <c r="B17" s="2">
        <v>40</v>
      </c>
    </row>
    <row r="18" spans="1:7" x14ac:dyDescent="0.2">
      <c r="A18" s="25" t="s">
        <v>135</v>
      </c>
      <c r="B18" s="2">
        <v>0</v>
      </c>
    </row>
    <row r="19" spans="1:7" x14ac:dyDescent="0.2">
      <c r="A19" s="2" t="s">
        <v>83</v>
      </c>
      <c r="B19" s="2">
        <v>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FOH&amp;BOH 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2023-01-23T22:47:26Z</dcterms:modified>
</cp:coreProperties>
</file>