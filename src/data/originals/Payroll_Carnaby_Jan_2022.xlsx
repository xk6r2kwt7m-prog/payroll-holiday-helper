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"/>
    </mc:Choice>
  </mc:AlternateContent>
  <xr:revisionPtr revIDLastSave="0" documentId="13_ncr:1_{A84A0D17-8591-7B42-A7F2-5FDC9EF0B85E}" xr6:coauthVersionLast="47" xr6:coauthVersionMax="47" xr10:uidLastSave="{00000000-0000-0000-0000-000000000000}"/>
  <bookViews>
    <workbookView xWindow="0" yWindow="500" windowWidth="28800" windowHeight="16440" tabRatio="500" xr2:uid="{00000000-000D-0000-FFFF-FFFF00000000}"/>
  </bookViews>
  <sheets>
    <sheet name="Payroll Carnaby" sheetId="1" r:id="rId1"/>
    <sheet name="SUMMARY" sheetId="3" r:id="rId2"/>
    <sheet name="HOLIDAYS AND NOTES" sheetId="2" r:id="rId3"/>
    <sheet name="NOTES " sheetId="4" r:id="rId4"/>
  </sheets>
  <definedNames>
    <definedName name="_xlnm.Print_Area" localSheetId="2">'HOLIDAYS AND NOTES'!$A$4:$F$29</definedName>
    <definedName name="_xlnm.Print_Area" localSheetId="0">'Payroll Carnaby'!$A$5:$G$5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9" i="1" l="1"/>
  <c r="G38" i="1"/>
  <c r="F8" i="2"/>
  <c r="F9" i="2"/>
  <c r="F10" i="2"/>
  <c r="F11" i="2"/>
  <c r="F12" i="2"/>
  <c r="F20" i="1"/>
  <c r="G20" i="1" s="1"/>
  <c r="F17" i="1"/>
  <c r="G17" i="1" s="1"/>
  <c r="F19" i="1"/>
  <c r="G19" i="1" s="1"/>
  <c r="I19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18" i="1"/>
  <c r="G16" i="1"/>
  <c r="G15" i="1"/>
  <c r="G14" i="1"/>
  <c r="G13" i="1"/>
  <c r="G12" i="1"/>
  <c r="G11" i="1"/>
  <c r="G10" i="1"/>
  <c r="G9" i="1"/>
  <c r="G8" i="1"/>
  <c r="G7" i="1"/>
  <c r="F7" i="2"/>
  <c r="H37" i="1" l="1"/>
  <c r="I37" i="1" l="1"/>
  <c r="C7" i="3" s="1"/>
  <c r="C6" i="3"/>
  <c r="F37" i="1"/>
  <c r="A1" i="1"/>
  <c r="F14" i="2"/>
  <c r="F31" i="2" s="1"/>
  <c r="C8" i="3" s="1"/>
  <c r="B1" i="4"/>
  <c r="C1" i="2"/>
  <c r="G6" i="1"/>
  <c r="G37" i="1" l="1"/>
  <c r="C5" i="3" l="1"/>
  <c r="C9" i="3" s="1"/>
</calcChain>
</file>

<file path=xl/sharedStrings.xml><?xml version="1.0" encoding="utf-8"?>
<sst xmlns="http://schemas.openxmlformats.org/spreadsheetml/2006/main" count="234" uniqueCount="155">
  <si>
    <t>Employee Reference</t>
  </si>
  <si>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</si>
  <si>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</si>
  <si>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</si>
  <si>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</si>
  <si>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</si>
  <si>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</si>
  <si>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</si>
  <si>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>START DATE</t>
  </si>
  <si>
    <t>LEAVE DATE</t>
  </si>
  <si>
    <t>PAYROLL TOTAL</t>
  </si>
  <si>
    <t xml:space="preserve">Dimitris </t>
  </si>
  <si>
    <t xml:space="preserve">Papachristos </t>
  </si>
  <si>
    <t xml:space="preserve">Hourly Rate </t>
  </si>
  <si>
    <t xml:space="preserve">Auntie Wing </t>
  </si>
  <si>
    <t>Auntie WING</t>
  </si>
  <si>
    <t xml:space="preserve">NOTES </t>
  </si>
  <si>
    <t xml:space="preserve">SALES TARGET BONUS </t>
  </si>
  <si>
    <t>Waitress</t>
  </si>
  <si>
    <t xml:space="preserve">Kitchen Manager </t>
  </si>
  <si>
    <t xml:space="preserve">LEAVERS HOLIDAY </t>
  </si>
  <si>
    <t>HOLIDAYS TOTAL</t>
  </si>
  <si>
    <t xml:space="preserve">DUMPLING BONUS </t>
  </si>
  <si>
    <t xml:space="preserve">TOTAL </t>
  </si>
  <si>
    <t xml:space="preserve">TOTAL PAYROLL </t>
  </si>
  <si>
    <t xml:space="preserve">STARTERS AND LEAVERS DATE </t>
  </si>
  <si>
    <t xml:space="preserve">Prod. Team </t>
  </si>
  <si>
    <t>NIN</t>
  </si>
  <si>
    <t>Sort Code</t>
  </si>
  <si>
    <t>.</t>
  </si>
  <si>
    <t>Name (New Starters )</t>
  </si>
  <si>
    <t>Bank Account</t>
  </si>
  <si>
    <t xml:space="preserve">Nationality </t>
  </si>
  <si>
    <t xml:space="preserve">Jean Carlos </t>
  </si>
  <si>
    <t>Garcia Gonzalez</t>
  </si>
  <si>
    <t xml:space="preserve">    </t>
  </si>
  <si>
    <t xml:space="preserve">Carolina </t>
  </si>
  <si>
    <t>Nunez</t>
  </si>
  <si>
    <t>Senior Chef</t>
  </si>
  <si>
    <t>Melanny Salome</t>
  </si>
  <si>
    <t>Folleco Chala</t>
  </si>
  <si>
    <t>Sau Yi</t>
  </si>
  <si>
    <t>Liu</t>
  </si>
  <si>
    <t>Cham</t>
  </si>
  <si>
    <t xml:space="preserve">Waitress </t>
  </si>
  <si>
    <t xml:space="preserve">Lissette </t>
  </si>
  <si>
    <t>Paredes</t>
  </si>
  <si>
    <t xml:space="preserve">Passaport/ID number </t>
  </si>
  <si>
    <t xml:space="preserve">Senior Chef </t>
  </si>
  <si>
    <t xml:space="preserve">Mario </t>
  </si>
  <si>
    <t xml:space="preserve">Serior Chef </t>
  </si>
  <si>
    <t>Lorna</t>
  </si>
  <si>
    <t xml:space="preserve">Lau </t>
  </si>
  <si>
    <t>Kitchen Staff</t>
  </si>
  <si>
    <t>Chef</t>
  </si>
  <si>
    <t xml:space="preserve">Sick Pay Statutory </t>
  </si>
  <si>
    <t xml:space="preserve">Setlment status </t>
  </si>
  <si>
    <t xml:space="preserve">Bruno </t>
  </si>
  <si>
    <t xml:space="preserve">Martins </t>
  </si>
  <si>
    <t>Talbott</t>
  </si>
  <si>
    <t>Savannah Jade</t>
  </si>
  <si>
    <t>Vargas Feliz</t>
  </si>
  <si>
    <t>Adalgisa</t>
  </si>
  <si>
    <t>Hui Yi (Summer)</t>
  </si>
  <si>
    <t>Tamar</t>
  </si>
  <si>
    <t>Molina Rios</t>
  </si>
  <si>
    <t>Sergio</t>
  </si>
  <si>
    <t>Ferrerosa</t>
  </si>
  <si>
    <t xml:space="preserve">Andre  </t>
  </si>
  <si>
    <t>Crowley-Borgonzolo</t>
  </si>
  <si>
    <t>Naomi Jhuliana</t>
  </si>
  <si>
    <t xml:space="preserve">Shivani </t>
  </si>
  <si>
    <t>Campbell</t>
  </si>
  <si>
    <t>Vallejos</t>
  </si>
  <si>
    <t xml:space="preserve">starter </t>
  </si>
  <si>
    <t xml:space="preserve">Junior chef </t>
  </si>
  <si>
    <t>Heidy</t>
  </si>
  <si>
    <t xml:space="preserve">Ramos </t>
  </si>
  <si>
    <t>PAYROLL    22 NOV 19 DEC UGLY DUMPLING  TEAM</t>
  </si>
  <si>
    <t>Mario</t>
  </si>
  <si>
    <t>Lissette</t>
  </si>
  <si>
    <t xml:space="preserve">Sau </t>
  </si>
  <si>
    <t>Hubert Filip Siotor</t>
  </si>
  <si>
    <t xml:space="preserve">Polish </t>
  </si>
  <si>
    <t>EN 4125386</t>
  </si>
  <si>
    <t>04-00-75</t>
  </si>
  <si>
    <t xml:space="preserve"> Share Code</t>
  </si>
  <si>
    <t>WJ5GDPY3Y</t>
  </si>
  <si>
    <t>Mildred</t>
  </si>
  <si>
    <t>WX9Y6NYEE</t>
  </si>
  <si>
    <t>_</t>
  </si>
  <si>
    <t xml:space="preserve">Spanish </t>
  </si>
  <si>
    <t>PAK773797</t>
  </si>
  <si>
    <t xml:space="preserve">Jason Batista </t>
  </si>
  <si>
    <t>SY081164A</t>
  </si>
  <si>
    <t xml:space="preserve">Bradley Andrew Walker </t>
  </si>
  <si>
    <t>PG422851D</t>
  </si>
  <si>
    <t>Rose Chowdhury</t>
  </si>
  <si>
    <t>SX688312A</t>
  </si>
  <si>
    <t>20-92-63</t>
  </si>
  <si>
    <t xml:space="preserve">Leonor Ferreira </t>
  </si>
  <si>
    <t>HN779744A</t>
  </si>
  <si>
    <t>30-96-64</t>
  </si>
  <si>
    <t xml:space="preserve">Blanca Milan </t>
  </si>
  <si>
    <t>SR857725B</t>
  </si>
  <si>
    <t>30-84-76</t>
  </si>
  <si>
    <t xml:space="preserve">Joselin </t>
  </si>
  <si>
    <t xml:space="preserve">Joselin Chala </t>
  </si>
  <si>
    <t>SW224186C</t>
  </si>
  <si>
    <t>20-25-28</t>
  </si>
  <si>
    <t xml:space="preserve">Lina </t>
  </si>
  <si>
    <t xml:space="preserve">Marc Boltman </t>
  </si>
  <si>
    <t>SS671483D</t>
  </si>
  <si>
    <t>60-83-71</t>
  </si>
  <si>
    <t>PK834673B</t>
  </si>
  <si>
    <t>30-97-90</t>
  </si>
  <si>
    <t>pre-settle</t>
  </si>
  <si>
    <t>Siotor</t>
  </si>
  <si>
    <t>Suarez</t>
  </si>
  <si>
    <t>Batista</t>
  </si>
  <si>
    <t>Walker</t>
  </si>
  <si>
    <t>Chowdhury</t>
  </si>
  <si>
    <t>Milan</t>
  </si>
  <si>
    <t xml:space="preserve">Rashid </t>
  </si>
  <si>
    <t xml:space="preserve">Chala </t>
  </si>
  <si>
    <t xml:space="preserve">Boltman </t>
  </si>
  <si>
    <t xml:space="preserve">Hubert </t>
  </si>
  <si>
    <t xml:space="preserve">Jason </t>
  </si>
  <si>
    <t xml:space="preserve">Bradley Andrew </t>
  </si>
  <si>
    <t xml:space="preserve">Rose </t>
  </si>
  <si>
    <t xml:space="preserve">Leonor </t>
  </si>
  <si>
    <t>Blanca</t>
  </si>
  <si>
    <t>Waiter</t>
  </si>
  <si>
    <t xml:space="preserve">Marc </t>
  </si>
  <si>
    <t xml:space="preserve">starter/leaver </t>
  </si>
  <si>
    <t xml:space="preserve">Ferreira </t>
  </si>
  <si>
    <t xml:space="preserve">Tse </t>
  </si>
  <si>
    <t>Yi Wan (Sue)</t>
  </si>
  <si>
    <t>Wai Pink (Jess)</t>
  </si>
  <si>
    <t>pay increase to £10.7</t>
  </si>
  <si>
    <t>pay rise to £10.7</t>
  </si>
  <si>
    <t>Kitchen Manage</t>
  </si>
  <si>
    <t xml:space="preserve">Melanny </t>
  </si>
  <si>
    <t xml:space="preserve">Jean </t>
  </si>
  <si>
    <t>03788608</t>
  </si>
  <si>
    <t>na</t>
  </si>
  <si>
    <t>Tiburcio</t>
  </si>
  <si>
    <t>Pay Comp. Description</t>
  </si>
  <si>
    <t xml:space="preserve">Sales Bobus </t>
  </si>
  <si>
    <t>Pay</t>
  </si>
  <si>
    <t>Bonus</t>
  </si>
  <si>
    <t>Status</t>
  </si>
  <si>
    <t>S.Charge</t>
  </si>
  <si>
    <t>Notes</t>
  </si>
  <si>
    <t>H.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</si>
</sst>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2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8"/>
      <color theme="1"/>
      <name val="Calibri (Body)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b/>
      <sz val="12"/>
      <color rgb="FF000000"/>
      <name val="Calibri"/>
      <family val="2"/>
      <scheme val="min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FF0000"/>
      <name val="Calibri"/>
      <family val="2"/>
      <scheme val="minor"/>
    </font>
    <font>
      <b/>
      <sz val="10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b/>
      <sz val="10"/>
      <color theme="9"/>
      <name val="Calibri Light"/>
      <family val="2"/>
      <scheme val="major"/>
    </font>
    <font>
      <b/>
      <sz val="10"/>
      <color theme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405E83"/>
      <name val="Microsoft Sans Serif"/>
      <family val="2"/>
    </font>
    <font>
      <b/>
      <sz val="12"/>
      <color rgb="FF92D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8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2" fillId="2" borderId="0" xfId="0" applyNumberFormat="1" applyFont="1" applyFill="1"/>
    <xf numFmtId="0" fontId="0" fillId="3" borderId="0" xfId="0" applyFill="1" applyBorder="1"/>
    <xf numFmtId="0" fontId="0" fillId="2" borderId="0" xfId="0" applyFill="1"/>
    <xf numFmtId="166" fontId="0" fillId="2" borderId="0" xfId="0" applyNumberFormat="1" applyFill="1" applyAlignment="1">
      <alignment horizontal="right"/>
    </xf>
    <xf numFmtId="0" fontId="7" fillId="2" borderId="0" xfId="0" applyFont="1" applyFill="1"/>
    <xf numFmtId="0" fontId="8" fillId="2" borderId="0" xfId="0" applyNumberFormat="1" applyFont="1" applyFill="1"/>
    <xf numFmtId="0" fontId="9" fillId="2" borderId="1" xfId="0" applyFont="1" applyFill="1" applyBorder="1" applyAlignment="1"/>
    <xf numFmtId="0" fontId="8" fillId="2" borderId="1" xfId="0" applyFont="1" applyFill="1" applyBorder="1"/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7" fillId="4" borderId="0" xfId="0" applyFont="1" applyFill="1"/>
    <xf numFmtId="165" fontId="7" fillId="4" borderId="0" xfId="0" applyNumberFormat="1" applyFont="1" applyFill="1"/>
    <xf numFmtId="0" fontId="7" fillId="4" borderId="0" xfId="0" applyFont="1" applyFill="1" applyBorder="1"/>
    <xf numFmtId="0" fontId="13" fillId="2" borderId="0" xfId="0" applyFont="1" applyFill="1"/>
    <xf numFmtId="0" fontId="10" fillId="2" borderId="0" xfId="0" applyFont="1" applyFill="1" applyBorder="1" applyAlignment="1">
      <alignment horizontal="center" vertical="center"/>
    </xf>
    <xf numFmtId="166" fontId="0" fillId="2" borderId="0" xfId="0" applyNumberFormat="1" applyFill="1" applyBorder="1" applyAlignment="1">
      <alignment horizontal="right"/>
    </xf>
    <xf numFmtId="165" fontId="8" fillId="2" borderId="1" xfId="0" applyNumberFormat="1" applyFont="1" applyFill="1" applyBorder="1"/>
    <xf numFmtId="164" fontId="8" fillId="2" borderId="1" xfId="78" applyFont="1" applyFill="1" applyBorder="1"/>
    <xf numFmtId="0" fontId="8" fillId="2" borderId="0" xfId="0" applyFont="1" applyFill="1" applyBorder="1"/>
    <xf numFmtId="0" fontId="2" fillId="2" borderId="0" xfId="0" applyFont="1" applyFill="1" applyAlignment="1">
      <alignment horizontal="center"/>
    </xf>
    <xf numFmtId="0" fontId="9" fillId="2" borderId="0" xfId="0" applyFont="1" applyFill="1" applyBorder="1" applyAlignment="1"/>
    <xf numFmtId="165" fontId="8" fillId="2" borderId="0" xfId="0" applyNumberFormat="1" applyFont="1" applyFill="1" applyBorder="1"/>
    <xf numFmtId="0" fontId="0" fillId="3" borderId="0" xfId="0" applyFill="1"/>
    <xf numFmtId="0" fontId="2" fillId="3" borderId="0" xfId="0" applyFont="1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2" xfId="0" applyFill="1" applyBorder="1"/>
    <xf numFmtId="0" fontId="0" fillId="3" borderId="6" xfId="0" applyFill="1" applyBorder="1"/>
    <xf numFmtId="0" fontId="2" fillId="3" borderId="3" xfId="0" applyFont="1" applyFill="1" applyBorder="1"/>
    <xf numFmtId="167" fontId="13" fillId="2" borderId="0" xfId="0" applyNumberFormat="1" applyFont="1" applyFill="1"/>
    <xf numFmtId="0" fontId="14" fillId="2" borderId="1" xfId="0" applyFont="1" applyFill="1" applyBorder="1"/>
    <xf numFmtId="167" fontId="14" fillId="2" borderId="1" xfId="0" applyNumberFormat="1" applyFont="1" applyFill="1" applyBorder="1"/>
    <xf numFmtId="9" fontId="16" fillId="2" borderId="0" xfId="79" applyFont="1" applyFill="1"/>
    <xf numFmtId="0" fontId="15" fillId="2" borderId="0" xfId="0" applyFont="1" applyFill="1" applyAlignment="1">
      <alignment horizontal="center"/>
    </xf>
    <xf numFmtId="0" fontId="12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/>
    </xf>
    <xf numFmtId="0" fontId="17" fillId="2" borderId="0" xfId="0" applyFont="1" applyFill="1"/>
    <xf numFmtId="0" fontId="13" fillId="4" borderId="2" xfId="0" applyFont="1" applyFill="1" applyBorder="1"/>
    <xf numFmtId="0" fontId="12" fillId="2" borderId="0" xfId="0" applyFont="1" applyFill="1" applyBorder="1" applyAlignment="1">
      <alignment horizontal="left" vertical="center"/>
    </xf>
    <xf numFmtId="0" fontId="0" fillId="3" borderId="0" xfId="0" quotePrefix="1" applyFill="1"/>
    <xf numFmtId="0" fontId="12" fillId="2" borderId="0" xfId="0" applyFont="1" applyFill="1" applyBorder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12" fillId="4" borderId="0" xfId="0" applyFont="1" applyFill="1" applyBorder="1" applyAlignment="1">
      <alignment horizontal="left" vertical="center"/>
    </xf>
    <xf numFmtId="0" fontId="10" fillId="4" borderId="0" xfId="0" applyFont="1" applyFill="1" applyBorder="1" applyAlignment="1">
      <alignment horizontal="center" vertical="center"/>
    </xf>
    <xf numFmtId="165" fontId="12" fillId="4" borderId="0" xfId="78" applyNumberFormat="1" applyFont="1" applyFill="1" applyBorder="1" applyAlignment="1">
      <alignment vertical="center"/>
    </xf>
    <xf numFmtId="0" fontId="12" fillId="4" borderId="0" xfId="0" applyFont="1" applyFill="1" applyBorder="1" applyAlignment="1">
      <alignment horizontal="center" vertical="center"/>
    </xf>
    <xf numFmtId="164" fontId="10" fillId="4" borderId="0" xfId="78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/>
    </xf>
    <xf numFmtId="164" fontId="12" fillId="4" borderId="0" xfId="78" applyFont="1" applyFill="1" applyAlignment="1">
      <alignment vertical="center" wrapText="1"/>
    </xf>
    <xf numFmtId="0" fontId="12" fillId="4" borderId="0" xfId="0" applyFont="1" applyFill="1" applyAlignment="1">
      <alignment horizontal="center" vertical="center" wrapText="1"/>
    </xf>
    <xf numFmtId="164" fontId="18" fillId="4" borderId="0" xfId="78" applyFont="1" applyFill="1" applyBorder="1" applyAlignment="1">
      <alignment horizontal="center" vertical="center"/>
    </xf>
    <xf numFmtId="0" fontId="0" fillId="3" borderId="0" xfId="0" applyFont="1" applyFill="1" applyBorder="1"/>
    <xf numFmtId="0" fontId="0" fillId="3" borderId="0" xfId="0" applyFont="1" applyFill="1" applyBorder="1" applyAlignment="1">
      <alignment horizontal="left"/>
    </xf>
    <xf numFmtId="0" fontId="0" fillId="5" borderId="0" xfId="0" applyFill="1"/>
    <xf numFmtId="0" fontId="17" fillId="2" borderId="0" xfId="0" applyFont="1" applyFill="1" applyBorder="1"/>
    <xf numFmtId="0" fontId="14" fillId="4" borderId="2" xfId="0" applyFont="1" applyFill="1" applyBorder="1" applyAlignment="1">
      <alignment horizontal="right"/>
    </xf>
    <xf numFmtId="167" fontId="0" fillId="2" borderId="0" xfId="0" applyNumberFormat="1" applyFill="1"/>
    <xf numFmtId="9" fontId="0" fillId="2" borderId="0" xfId="79" applyFont="1" applyFill="1"/>
    <xf numFmtId="0" fontId="0" fillId="3" borderId="0" xfId="0" applyFont="1" applyFill="1" applyBorder="1" applyAlignment="1"/>
    <xf numFmtId="0" fontId="0" fillId="3" borderId="0" xfId="0" applyFont="1" applyFill="1" applyAlignment="1"/>
    <xf numFmtId="0" fontId="0" fillId="3" borderId="2" xfId="0" applyFill="1" applyBorder="1" applyAlignment="1"/>
    <xf numFmtId="1" fontId="0" fillId="3" borderId="0" xfId="0" applyNumberFormat="1" applyFont="1" applyFill="1" applyAlignment="1"/>
    <xf numFmtId="1" fontId="0" fillId="3" borderId="0" xfId="0" applyNumberFormat="1" applyFont="1" applyFill="1" applyBorder="1" applyAlignment="1"/>
    <xf numFmtId="1" fontId="0" fillId="3" borderId="2" xfId="0" applyNumberFormat="1" applyFill="1" applyBorder="1" applyAlignment="1"/>
    <xf numFmtId="1" fontId="0" fillId="3" borderId="2" xfId="0" applyNumberFormat="1" applyFill="1" applyBorder="1"/>
    <xf numFmtId="0" fontId="8" fillId="2" borderId="0" xfId="0" applyFont="1" applyFill="1"/>
    <xf numFmtId="0" fontId="20" fillId="2" borderId="0" xfId="0" applyFont="1" applyFill="1"/>
    <xf numFmtId="0" fontId="14" fillId="2" borderId="0" xfId="0" applyFont="1" applyFill="1"/>
    <xf numFmtId="0" fontId="2" fillId="2" borderId="0" xfId="0" applyFont="1" applyFill="1"/>
    <xf numFmtId="0" fontId="2" fillId="2" borderId="0" xfId="0" applyFont="1" applyFill="1" applyBorder="1"/>
    <xf numFmtId="165" fontId="17" fillId="2" borderId="0" xfId="0" applyNumberFormat="1" applyFont="1" applyFill="1"/>
    <xf numFmtId="164" fontId="8" fillId="2" borderId="0" xfId="78" applyFont="1" applyFill="1"/>
    <xf numFmtId="0" fontId="21" fillId="2" borderId="0" xfId="0" applyFont="1" applyFill="1"/>
    <xf numFmtId="165" fontId="8" fillId="2" borderId="0" xfId="0" applyNumberFormat="1" applyFont="1" applyFill="1" applyBorder="1" applyAlignment="1">
      <alignment horizontal="right" vertical="center"/>
    </xf>
    <xf numFmtId="165" fontId="8" fillId="2" borderId="0" xfId="0" applyNumberFormat="1" applyFont="1" applyFill="1"/>
    <xf numFmtId="0" fontId="22" fillId="2" borderId="0" xfId="0" applyFont="1" applyFill="1"/>
    <xf numFmtId="165" fontId="8" fillId="2" borderId="0" xfId="0" applyNumberFormat="1" applyFont="1" applyFill="1" applyAlignment="1">
      <alignment horizontal="right" vertical="center"/>
    </xf>
    <xf numFmtId="0" fontId="11" fillId="2" borderId="1" xfId="0" applyFont="1" applyFill="1" applyBorder="1"/>
    <xf numFmtId="0" fontId="11" fillId="2" borderId="0" xfId="0" applyFont="1" applyFill="1"/>
    <xf numFmtId="164" fontId="8" fillId="2" borderId="0" xfId="0" applyNumberFormat="1" applyFont="1" applyFill="1"/>
    <xf numFmtId="0" fontId="24" fillId="2" borderId="0" xfId="0" applyFont="1" applyFill="1"/>
    <xf numFmtId="164" fontId="11" fillId="2" borderId="0" xfId="78" applyFont="1" applyFill="1"/>
    <xf numFmtId="1" fontId="0" fillId="3" borderId="0" xfId="0" applyNumberFormat="1" applyFont="1" applyFill="1" applyAlignment="1">
      <alignment horizontal="left"/>
    </xf>
    <xf numFmtId="1" fontId="0" fillId="3" borderId="0" xfId="0" applyNumberFormat="1" applyFont="1" applyFill="1" applyBorder="1" applyAlignment="1">
      <alignment horizontal="left"/>
    </xf>
    <xf numFmtId="1" fontId="0" fillId="3" borderId="0" xfId="0" applyNumberFormat="1" applyFill="1" applyAlignment="1">
      <alignment horizontal="left"/>
    </xf>
    <xf numFmtId="14" fontId="0" fillId="3" borderId="0" xfId="0" applyNumberFormat="1" applyFont="1" applyFill="1" applyBorder="1" applyAlignment="1">
      <alignment horizontal="left"/>
    </xf>
    <xf numFmtId="0" fontId="11" fillId="2" borderId="0" xfId="0" applyFont="1" applyFill="1" applyAlignment="1"/>
    <xf numFmtId="0" fontId="2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left"/>
    </xf>
    <xf numFmtId="0" fontId="1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4" borderId="0" xfId="0" applyFont="1" applyFill="1" applyBorder="1"/>
    <xf numFmtId="0" fontId="8" fillId="4" borderId="0" xfId="0" applyFont="1" applyFill="1"/>
    <xf numFmtId="0" fontId="17" fillId="4" borderId="0" xfId="0" applyFont="1" applyFill="1"/>
    <xf numFmtId="165" fontId="8" fillId="4" borderId="0" xfId="0" applyNumberFormat="1" applyFont="1" applyFill="1" applyAlignment="1">
      <alignment horizontal="right" vertical="center"/>
    </xf>
    <xf numFmtId="165" fontId="17" fillId="4" borderId="0" xfId="0" applyNumberFormat="1" applyFont="1" applyFill="1"/>
    <xf numFmtId="0" fontId="14" fillId="4" borderId="0" xfId="0" applyFont="1" applyFill="1"/>
    <xf numFmtId="0" fontId="8" fillId="4" borderId="0" xfId="0" applyFont="1" applyFill="1" applyBorder="1"/>
    <xf numFmtId="0" fontId="17" fillId="4" borderId="0" xfId="0" applyFont="1" applyFill="1" applyBorder="1"/>
    <xf numFmtId="165" fontId="8" fillId="4" borderId="0" xfId="0" applyNumberFormat="1" applyFont="1" applyFill="1" applyBorder="1" applyAlignment="1">
      <alignment horizontal="right" vertical="center"/>
    </xf>
    <xf numFmtId="165" fontId="8" fillId="4" borderId="0" xfId="0" applyNumberFormat="1" applyFont="1" applyFill="1"/>
    <xf numFmtId="0" fontId="19" fillId="4" borderId="0" xfId="0" applyFont="1" applyFill="1" applyBorder="1"/>
    <xf numFmtId="0" fontId="19" fillId="2" borderId="0" xfId="0" applyFont="1" applyFill="1" applyBorder="1"/>
    <xf numFmtId="0" fontId="8" fillId="2" borderId="0" xfId="78" applyNumberFormat="1" applyFont="1" applyFill="1" applyBorder="1" applyAlignment="1">
      <alignment horizontal="right" vertical="center"/>
    </xf>
    <xf numFmtId="165" fontId="2" fillId="2" borderId="0" xfId="0" applyNumberFormat="1" applyFont="1" applyFill="1"/>
    <xf numFmtId="165" fontId="8" fillId="2" borderId="0" xfId="78" applyNumberFormat="1" applyFont="1" applyFill="1"/>
    <xf numFmtId="165" fontId="23" fillId="2" borderId="0" xfId="78" applyNumberFormat="1" applyFont="1" applyFill="1"/>
    <xf numFmtId="165" fontId="14" fillId="2" borderId="0" xfId="0" applyNumberFormat="1" applyFont="1" applyFill="1"/>
    <xf numFmtId="165" fontId="8" fillId="2" borderId="0" xfId="78" applyNumberFormat="1" applyFont="1" applyFill="1" applyBorder="1"/>
    <xf numFmtId="165" fontId="8" fillId="2" borderId="1" xfId="78" applyNumberFormat="1" applyFont="1" applyFill="1" applyBorder="1"/>
    <xf numFmtId="165" fontId="11" fillId="2" borderId="1" xfId="0" applyNumberFormat="1" applyFont="1" applyFill="1" applyBorder="1"/>
    <xf numFmtId="49" fontId="0" fillId="3" borderId="0" xfId="0" applyNumberFormat="1" applyFont="1" applyFill="1" applyAlignment="1"/>
    <xf numFmtId="49" fontId="0" fillId="3" borderId="0" xfId="0" applyNumberFormat="1" applyFont="1" applyFill="1" applyBorder="1" applyAlignment="1"/>
    <xf numFmtId="49" fontId="0" fillId="3" borderId="0" xfId="0" applyNumberFormat="1" applyFill="1" applyAlignment="1"/>
    <xf numFmtId="0" fontId="25" fillId="3" borderId="3" xfId="0" applyFont="1" applyFill="1" applyBorder="1"/>
    <xf numFmtId="0" fontId="26" fillId="4" borderId="7" xfId="0" applyFont="1" applyFill="1" applyBorder="1"/>
    <xf numFmtId="0" fontId="26" fillId="4" borderId="8" xfId="0" applyFont="1" applyFill="1" applyBorder="1"/>
    <xf numFmtId="0" fontId="26" fillId="4" borderId="9" xfId="0" applyFont="1" applyFill="1" applyBorder="1"/>
    <xf numFmtId="0" fontId="25" fillId="3" borderId="0" xfId="0" applyFont="1" applyFill="1" applyBorder="1"/>
    <xf numFmtId="0" fontId="25" fillId="3" borderId="4" xfId="0" applyFont="1" applyFill="1" applyBorder="1"/>
    <xf numFmtId="0" fontId="25" fillId="3" borderId="0" xfId="0" applyFont="1" applyFill="1"/>
    <xf numFmtId="165" fontId="8" fillId="4" borderId="0" xfId="78" applyNumberFormat="1" applyFont="1" applyFill="1"/>
    <xf numFmtId="165" fontId="17" fillId="4" borderId="0" xfId="78" applyNumberFormat="1" applyFont="1" applyFill="1"/>
    <xf numFmtId="165" fontId="8" fillId="4" borderId="0" xfId="78" applyNumberFormat="1" applyFont="1" applyFill="1" applyBorder="1"/>
    <xf numFmtId="165" fontId="14" fillId="4" borderId="0" xfId="0" applyNumberFormat="1" applyFont="1" applyFill="1"/>
    <xf numFmtId="165" fontId="2" fillId="4" borderId="0" xfId="0" applyNumberFormat="1" applyFont="1" applyFill="1"/>
    <xf numFmtId="0" fontId="8" fillId="4" borderId="0" xfId="78" applyNumberFormat="1" applyFont="1" applyFill="1" applyBorder="1" applyAlignment="1">
      <alignment horizontal="right" vertical="center"/>
    </xf>
    <xf numFmtId="0" fontId="27" fillId="2" borderId="2" xfId="0" applyFont="1" applyFill="1" applyBorder="1" applyAlignment="1">
      <alignment horizontal="left" vertical="center"/>
    </xf>
    <xf numFmtId="164" fontId="14" fillId="2" borderId="0" xfId="78" applyFont="1" applyFill="1"/>
    <xf numFmtId="164" fontId="14" fillId="4" borderId="0" xfId="78" applyFont="1" applyFill="1"/>
    <xf numFmtId="9" fontId="28" fillId="2" borderId="0" xfId="79" applyFont="1" applyFill="1"/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388620</xdr:colOff>
      <xdr:row>23</xdr:row>
      <xdr:rowOff>136800</xdr:rowOff>
    </xdr:from>
    <xdr:to>
      <xdr:col>4</xdr:col>
      <xdr:colOff>388980</xdr:colOff>
      <xdr:row>23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44"/>
  <sheetViews>
    <sheetView tabSelected="1" topLeftCell="A17" zoomScale="110" zoomScaleNormal="110" workbookViewId="0">
      <selection activeCell="F42" sqref="F42"/>
    </sheetView>
  </sheetViews>
  <sheetFormatPr baseColWidth="10" defaultColWidth="8.83203125" defaultRowHeight="16" x14ac:dyDescent="0.2"/>
  <cols>
    <col min="1" max="2" width="21.5" style="72" bestFit="1" customWidth="1"/>
    <col min="3" max="3" width="19.33203125" style="72" bestFit="1" customWidth="1"/>
    <col min="4" max="4" width="27.1640625" style="72" bestFit="1" customWidth="1"/>
    <col min="5" max="5" width="12.1640625" style="72" bestFit="1" customWidth="1"/>
    <col min="6" max="6" width="11" style="72" customWidth="1"/>
    <col min="7" max="7" width="11.1640625" style="72" bestFit="1" customWidth="1"/>
    <col min="8" max="8" width="16.83203125" style="72" bestFit="1" customWidth="1"/>
    <col min="9" max="9" width="15.33203125" style="72" bestFit="1" customWidth="1"/>
    <col min="10" max="10" width="11.1640625" style="72" bestFit="1" customWidth="1"/>
    <col min="11" max="11" width="11.6640625" style="72" bestFit="1" customWidth="1"/>
    <col min="12" max="12" width="15.83203125" style="72" bestFit="1" customWidth="1"/>
    <col min="13" max="258" width="11" style="72" customWidth="1"/>
    <col min="259" max="16384" width="8.83203125" style="72"/>
  </cols>
  <sheetData>
    <row r="1" spans="1:14" x14ac:dyDescent="0.2">
      <c r="A1" s="91" t="str">
        <f>+SUMMARY!A1</f>
        <v>PAYROLL    22 NOV 19 DEC UGLY DUMPLING  TEAM</v>
      </c>
      <c r="B1" s="91"/>
      <c r="C1" s="91"/>
      <c r="D1" s="91"/>
      <c r="E1" s="91"/>
      <c r="F1" s="91"/>
      <c r="G1" s="91"/>
      <c r="H1" s="91"/>
      <c r="I1" s="91"/>
    </row>
    <row r="2" spans="1:14" x14ac:dyDescent="0.2">
      <c r="A2" s="91"/>
      <c r="B2" s="91"/>
      <c r="C2" s="91"/>
      <c r="D2" s="91"/>
      <c r="E2" s="91"/>
      <c r="F2" s="91"/>
      <c r="G2" s="91"/>
      <c r="H2" s="91"/>
      <c r="I2" s="91"/>
    </row>
    <row r="4" spans="1:14" x14ac:dyDescent="0.2">
      <c r="A4" s="73"/>
      <c r="B4" s="73"/>
      <c r="C4" s="73"/>
      <c r="D4" s="73"/>
      <c r="E4" s="73"/>
      <c r="F4" s="73"/>
      <c r="G4" s="73"/>
      <c r="H4" s="73"/>
      <c r="I4" s="73"/>
    </row>
    <row r="5" spans="1:14" x14ac:dyDescent="0.2">
      <c r="A5" s="131" t="s">
        <v>0</v>
      </c>
      <c r="B5" s="131" t="s">
        <v>1</v>
      </c>
      <c r="C5" s="131" t="s">
        <v>2</v>
      </c>
      <c r="D5" s="131" t="s">
        <v>147</v>
      </c>
      <c r="E5" s="131" t="s">
        <v>154</v>
      </c>
      <c r="F5" s="131" t="s">
        <v>5</v>
      </c>
      <c r="G5" s="131" t="s">
        <v>149</v>
      </c>
      <c r="H5" s="131" t="s">
        <v>148</v>
      </c>
      <c r="I5" s="131" t="s">
        <v>150</v>
      </c>
      <c r="J5" s="131" t="s">
        <v>151</v>
      </c>
      <c r="K5" s="131" t="s">
        <v>152</v>
      </c>
      <c r="L5" s="131" t="s">
        <v>153</v>
      </c>
    </row>
    <row r="6" spans="1:14" x14ac:dyDescent="0.2">
      <c r="A6" s="69" t="s">
        <v>18</v>
      </c>
      <c r="B6" s="69" t="s">
        <v>64</v>
      </c>
      <c r="C6" s="69" t="s">
        <v>65</v>
      </c>
      <c r="D6" s="40" t="s">
        <v>13</v>
      </c>
      <c r="E6" s="80">
        <v>9</v>
      </c>
      <c r="F6" s="40">
        <v>158.47999999999999</v>
      </c>
      <c r="G6" s="74">
        <f t="shared" ref="G6:G36" si="0">E6*F6</f>
        <v>1426.32</v>
      </c>
      <c r="H6" s="109"/>
      <c r="I6" s="78"/>
      <c r="J6" s="71"/>
      <c r="K6" s="132">
        <v>2.5</v>
      </c>
      <c r="L6" s="71"/>
    </row>
    <row r="7" spans="1:14" x14ac:dyDescent="0.2">
      <c r="A7" s="96" t="s">
        <v>18</v>
      </c>
      <c r="B7" s="97" t="s">
        <v>60</v>
      </c>
      <c r="C7" s="97" t="s">
        <v>59</v>
      </c>
      <c r="D7" s="97" t="s">
        <v>13</v>
      </c>
      <c r="E7" s="98">
        <v>9.5</v>
      </c>
      <c r="F7" s="97">
        <v>161.4</v>
      </c>
      <c r="G7" s="99">
        <f t="shared" si="0"/>
        <v>1533.3</v>
      </c>
      <c r="H7" s="125"/>
      <c r="I7" s="104"/>
      <c r="J7" s="100"/>
      <c r="K7" s="133">
        <v>3</v>
      </c>
      <c r="L7" s="100"/>
    </row>
    <row r="8" spans="1:14" x14ac:dyDescent="0.2">
      <c r="A8" s="69" t="s">
        <v>18</v>
      </c>
      <c r="B8" s="40" t="s">
        <v>45</v>
      </c>
      <c r="C8" s="40" t="s">
        <v>46</v>
      </c>
      <c r="D8" s="40" t="s">
        <v>13</v>
      </c>
      <c r="E8" s="80">
        <v>10</v>
      </c>
      <c r="F8" s="40">
        <v>207.96</v>
      </c>
      <c r="G8" s="74">
        <f t="shared" si="0"/>
        <v>2079.6</v>
      </c>
      <c r="H8" s="109">
        <v>150</v>
      </c>
      <c r="I8" s="78"/>
      <c r="J8" s="71"/>
      <c r="K8" s="132"/>
      <c r="L8" s="71"/>
    </row>
    <row r="9" spans="1:14" x14ac:dyDescent="0.2">
      <c r="A9" s="101" t="s">
        <v>18</v>
      </c>
      <c r="B9" s="102" t="s">
        <v>39</v>
      </c>
      <c r="C9" s="102" t="s">
        <v>40</v>
      </c>
      <c r="D9" s="97" t="s">
        <v>13</v>
      </c>
      <c r="E9" s="103">
        <v>9.75</v>
      </c>
      <c r="F9" s="101">
        <v>190.63</v>
      </c>
      <c r="G9" s="99">
        <f t="shared" si="0"/>
        <v>1858.6424999999999</v>
      </c>
      <c r="H9" s="125">
        <v>120</v>
      </c>
      <c r="I9" s="104"/>
      <c r="J9" s="100"/>
      <c r="K9" s="133"/>
      <c r="L9" s="100"/>
    </row>
    <row r="10" spans="1:14" x14ac:dyDescent="0.2">
      <c r="A10" s="21" t="s">
        <v>44</v>
      </c>
      <c r="B10" s="58" t="s">
        <v>66</v>
      </c>
      <c r="C10" s="58" t="s">
        <v>67</v>
      </c>
      <c r="D10" s="40" t="s">
        <v>13</v>
      </c>
      <c r="E10" s="77">
        <v>9.5</v>
      </c>
      <c r="F10" s="21">
        <v>202.24</v>
      </c>
      <c r="G10" s="74">
        <f t="shared" si="0"/>
        <v>1921.2800000000002</v>
      </c>
      <c r="H10" s="109"/>
      <c r="I10" s="78"/>
      <c r="J10" s="71"/>
      <c r="K10" s="132">
        <v>3.5</v>
      </c>
      <c r="L10" s="71"/>
    </row>
    <row r="11" spans="1:14" s="79" customFormat="1" x14ac:dyDescent="0.2">
      <c r="A11" s="101" t="s">
        <v>50</v>
      </c>
      <c r="B11" s="102" t="s">
        <v>51</v>
      </c>
      <c r="C11" s="102" t="s">
        <v>52</v>
      </c>
      <c r="D11" s="97" t="s">
        <v>13</v>
      </c>
      <c r="E11" s="103">
        <v>10</v>
      </c>
      <c r="F11" s="102">
        <v>32.700000000000003</v>
      </c>
      <c r="G11" s="99">
        <f t="shared" si="0"/>
        <v>327</v>
      </c>
      <c r="H11" s="126"/>
      <c r="I11" s="99"/>
      <c r="J11" s="100"/>
      <c r="K11" s="133"/>
      <c r="L11" s="100"/>
      <c r="M11" s="72"/>
      <c r="N11" s="72"/>
    </row>
    <row r="12" spans="1:14" x14ac:dyDescent="0.2">
      <c r="A12" s="69" t="s">
        <v>19</v>
      </c>
      <c r="B12" s="69" t="s">
        <v>11</v>
      </c>
      <c r="C12" s="69" t="s">
        <v>12</v>
      </c>
      <c r="D12" s="40" t="s">
        <v>13</v>
      </c>
      <c r="E12" s="80">
        <v>9</v>
      </c>
      <c r="F12" s="69">
        <v>147.99</v>
      </c>
      <c r="G12" s="74">
        <f t="shared" si="0"/>
        <v>1331.91</v>
      </c>
      <c r="H12" s="110">
        <v>100</v>
      </c>
      <c r="I12" s="78"/>
      <c r="J12" s="71"/>
      <c r="K12" s="132"/>
      <c r="L12" s="84" t="s">
        <v>140</v>
      </c>
    </row>
    <row r="13" spans="1:14" x14ac:dyDescent="0.2">
      <c r="A13" s="102" t="s">
        <v>48</v>
      </c>
      <c r="B13" s="102" t="s">
        <v>49</v>
      </c>
      <c r="C13" s="102" t="s">
        <v>146</v>
      </c>
      <c r="D13" s="97" t="s">
        <v>13</v>
      </c>
      <c r="E13" s="103">
        <v>10.7</v>
      </c>
      <c r="F13" s="101">
        <v>172.58</v>
      </c>
      <c r="G13" s="99">
        <f t="shared" si="0"/>
        <v>1846.606</v>
      </c>
      <c r="H13" s="125">
        <v>75</v>
      </c>
      <c r="I13" s="104"/>
      <c r="J13" s="100"/>
      <c r="K13" s="133"/>
      <c r="L13" s="100"/>
    </row>
    <row r="14" spans="1:14" x14ac:dyDescent="0.2">
      <c r="A14" s="106" t="s">
        <v>19</v>
      </c>
      <c r="B14" s="21" t="s">
        <v>33</v>
      </c>
      <c r="C14" s="21" t="s">
        <v>34</v>
      </c>
      <c r="D14" s="40" t="s">
        <v>13</v>
      </c>
      <c r="E14" s="77">
        <v>9.6999999999999993</v>
      </c>
      <c r="F14" s="21">
        <v>260.04000000000002</v>
      </c>
      <c r="G14" s="74">
        <f t="shared" si="0"/>
        <v>2522.3879999999999</v>
      </c>
      <c r="H14" s="109">
        <v>150</v>
      </c>
      <c r="I14" s="78"/>
      <c r="J14" s="71"/>
      <c r="K14" s="132"/>
      <c r="L14" s="84" t="s">
        <v>139</v>
      </c>
    </row>
    <row r="15" spans="1:14" x14ac:dyDescent="0.2">
      <c r="A15" s="101" t="s">
        <v>141</v>
      </c>
      <c r="B15" s="101" t="s">
        <v>36</v>
      </c>
      <c r="C15" s="101" t="s">
        <v>37</v>
      </c>
      <c r="D15" s="97" t="s">
        <v>13</v>
      </c>
      <c r="E15" s="103">
        <v>9.6999999999999993</v>
      </c>
      <c r="F15" s="101">
        <v>22.53</v>
      </c>
      <c r="G15" s="99">
        <f t="shared" si="0"/>
        <v>218.541</v>
      </c>
      <c r="H15" s="125">
        <v>0</v>
      </c>
      <c r="I15" s="104"/>
      <c r="J15" s="100"/>
      <c r="K15" s="133"/>
      <c r="L15" s="100"/>
    </row>
    <row r="16" spans="1:14" x14ac:dyDescent="0.2">
      <c r="A16" s="21" t="s">
        <v>26</v>
      </c>
      <c r="B16" s="58" t="s">
        <v>41</v>
      </c>
      <c r="C16" s="58" t="s">
        <v>42</v>
      </c>
      <c r="D16" s="40" t="s">
        <v>13</v>
      </c>
      <c r="E16" s="77">
        <v>9.5</v>
      </c>
      <c r="F16" s="21">
        <v>86.26</v>
      </c>
      <c r="G16" s="74">
        <f t="shared" si="0"/>
        <v>819.47</v>
      </c>
      <c r="H16" s="109"/>
      <c r="I16" s="78">
        <v>50</v>
      </c>
      <c r="J16" s="71"/>
      <c r="K16" s="132"/>
      <c r="L16" s="71"/>
    </row>
    <row r="17" spans="1:12" x14ac:dyDescent="0.2">
      <c r="A17" s="101" t="s">
        <v>26</v>
      </c>
      <c r="B17" s="102" t="s">
        <v>138</v>
      </c>
      <c r="C17" s="102" t="s">
        <v>43</v>
      </c>
      <c r="D17" s="97" t="s">
        <v>13</v>
      </c>
      <c r="E17" s="103">
        <v>9.5</v>
      </c>
      <c r="F17" s="105">
        <f>102.23+3</f>
        <v>105.23</v>
      </c>
      <c r="G17" s="99">
        <f t="shared" si="0"/>
        <v>999.68500000000006</v>
      </c>
      <c r="H17" s="125"/>
      <c r="I17" s="104">
        <v>89.04</v>
      </c>
      <c r="J17" s="100"/>
      <c r="K17" s="133"/>
      <c r="L17" s="100"/>
    </row>
    <row r="18" spans="1:12" x14ac:dyDescent="0.2">
      <c r="A18" s="69" t="s">
        <v>26</v>
      </c>
      <c r="B18" s="21" t="s">
        <v>137</v>
      </c>
      <c r="C18" s="21" t="s">
        <v>136</v>
      </c>
      <c r="D18" s="40" t="s">
        <v>13</v>
      </c>
      <c r="E18" s="77">
        <v>9</v>
      </c>
      <c r="F18" s="21">
        <v>0</v>
      </c>
      <c r="G18" s="74">
        <f t="shared" si="0"/>
        <v>0</v>
      </c>
      <c r="H18" s="111"/>
      <c r="I18" s="112"/>
      <c r="J18" s="71"/>
      <c r="K18" s="132"/>
      <c r="L18" s="71" t="s">
        <v>55</v>
      </c>
    </row>
    <row r="19" spans="1:12" x14ac:dyDescent="0.2">
      <c r="A19" s="96" t="s">
        <v>26</v>
      </c>
      <c r="B19" s="101" t="s">
        <v>15</v>
      </c>
      <c r="C19" s="101" t="s">
        <v>14</v>
      </c>
      <c r="D19" s="97" t="s">
        <v>13</v>
      </c>
      <c r="E19" s="103">
        <v>9.5</v>
      </c>
      <c r="F19" s="105">
        <f>158.48+3</f>
        <v>161.47999999999999</v>
      </c>
      <c r="G19" s="99">
        <f t="shared" si="0"/>
        <v>1534.06</v>
      </c>
      <c r="H19" s="127"/>
      <c r="I19" s="127">
        <f>183.2</f>
        <v>183.2</v>
      </c>
      <c r="J19" s="100"/>
      <c r="K19" s="133"/>
      <c r="L19" s="100"/>
    </row>
    <row r="20" spans="1:12" x14ac:dyDescent="0.2">
      <c r="A20" s="71" t="s">
        <v>26</v>
      </c>
      <c r="B20" s="71" t="s">
        <v>63</v>
      </c>
      <c r="C20" s="71" t="s">
        <v>43</v>
      </c>
      <c r="D20" s="40" t="s">
        <v>13</v>
      </c>
      <c r="E20" s="77">
        <v>9.5</v>
      </c>
      <c r="F20" s="70">
        <f>189.43-40+3</f>
        <v>152.43</v>
      </c>
      <c r="G20" s="74">
        <f t="shared" si="0"/>
        <v>1448.085</v>
      </c>
      <c r="H20" s="111"/>
      <c r="I20" s="111">
        <v>50</v>
      </c>
      <c r="J20" s="71"/>
      <c r="K20" s="132"/>
      <c r="L20" s="71"/>
    </row>
    <row r="21" spans="1:12" x14ac:dyDescent="0.2">
      <c r="A21" s="100" t="s">
        <v>53</v>
      </c>
      <c r="B21" s="100" t="s">
        <v>57</v>
      </c>
      <c r="C21" s="100" t="s">
        <v>58</v>
      </c>
      <c r="D21" s="97" t="s">
        <v>13</v>
      </c>
      <c r="E21" s="103">
        <v>8</v>
      </c>
      <c r="F21" s="100">
        <v>229</v>
      </c>
      <c r="G21" s="99">
        <f t="shared" si="0"/>
        <v>1832</v>
      </c>
      <c r="H21" s="128"/>
      <c r="I21" s="128"/>
      <c r="J21" s="100"/>
      <c r="K21" s="133">
        <v>1</v>
      </c>
      <c r="L21" s="100"/>
    </row>
    <row r="22" spans="1:12" x14ac:dyDescent="0.2">
      <c r="A22" s="71" t="s">
        <v>54</v>
      </c>
      <c r="B22" s="71" t="s">
        <v>62</v>
      </c>
      <c r="C22" s="71" t="s">
        <v>61</v>
      </c>
      <c r="D22" s="40" t="s">
        <v>13</v>
      </c>
      <c r="E22" s="77">
        <v>9.5</v>
      </c>
      <c r="F22" s="71">
        <v>80</v>
      </c>
      <c r="G22" s="74">
        <f t="shared" si="0"/>
        <v>760</v>
      </c>
      <c r="H22" s="111"/>
      <c r="I22" s="111"/>
      <c r="J22" s="71"/>
      <c r="K22" s="132">
        <v>3</v>
      </c>
      <c r="L22" s="71"/>
    </row>
    <row r="23" spans="1:12" x14ac:dyDescent="0.2">
      <c r="A23" s="100" t="s">
        <v>75</v>
      </c>
      <c r="B23" s="100" t="s">
        <v>68</v>
      </c>
      <c r="C23" s="100" t="s">
        <v>69</v>
      </c>
      <c r="D23" s="97" t="s">
        <v>13</v>
      </c>
      <c r="E23" s="103">
        <v>9.5</v>
      </c>
      <c r="F23" s="100">
        <v>10.02</v>
      </c>
      <c r="G23" s="99">
        <f t="shared" si="0"/>
        <v>95.19</v>
      </c>
      <c r="H23" s="128"/>
      <c r="I23" s="128"/>
      <c r="J23" s="100"/>
      <c r="K23" s="133"/>
      <c r="L23" s="100"/>
    </row>
    <row r="24" spans="1:12" x14ac:dyDescent="0.2">
      <c r="A24" s="71" t="s">
        <v>75</v>
      </c>
      <c r="B24" s="71" t="s">
        <v>70</v>
      </c>
      <c r="C24" s="71" t="s">
        <v>73</v>
      </c>
      <c r="D24" s="40" t="s">
        <v>13</v>
      </c>
      <c r="E24" s="77">
        <v>8</v>
      </c>
      <c r="F24" s="71">
        <v>61.19</v>
      </c>
      <c r="G24" s="74">
        <f t="shared" si="0"/>
        <v>489.52</v>
      </c>
      <c r="H24" s="111"/>
      <c r="I24" s="111"/>
      <c r="J24" s="71"/>
      <c r="K24" s="132"/>
      <c r="L24" s="71"/>
    </row>
    <row r="25" spans="1:12" x14ac:dyDescent="0.2">
      <c r="A25" s="100" t="s">
        <v>75</v>
      </c>
      <c r="B25" s="100" t="s">
        <v>71</v>
      </c>
      <c r="C25" s="100" t="s">
        <v>72</v>
      </c>
      <c r="D25" s="97" t="s">
        <v>13</v>
      </c>
      <c r="E25" s="103">
        <v>9</v>
      </c>
      <c r="F25" s="100">
        <v>117.92</v>
      </c>
      <c r="G25" s="99">
        <f t="shared" si="0"/>
        <v>1061.28</v>
      </c>
      <c r="H25" s="128"/>
      <c r="I25" s="128"/>
      <c r="J25" s="100"/>
      <c r="K25" s="133">
        <v>1</v>
      </c>
      <c r="L25" s="100"/>
    </row>
    <row r="26" spans="1:12" ht="17" customHeight="1" x14ac:dyDescent="0.2">
      <c r="A26" s="71" t="s">
        <v>38</v>
      </c>
      <c r="B26" s="71" t="s">
        <v>76</v>
      </c>
      <c r="C26" s="71" t="s">
        <v>77</v>
      </c>
      <c r="D26" s="40" t="s">
        <v>13</v>
      </c>
      <c r="E26" s="77">
        <v>9.6999999999999993</v>
      </c>
      <c r="F26" s="71">
        <v>119.22</v>
      </c>
      <c r="G26" s="74">
        <f t="shared" si="0"/>
        <v>1156.434</v>
      </c>
      <c r="H26" s="111"/>
      <c r="I26" s="111"/>
      <c r="J26" s="71" t="s">
        <v>74</v>
      </c>
      <c r="K26" s="132"/>
      <c r="L26" s="71"/>
    </row>
    <row r="27" spans="1:12" ht="17" customHeight="1" x14ac:dyDescent="0.2">
      <c r="A27" s="100" t="s">
        <v>38</v>
      </c>
      <c r="B27" s="95" t="s">
        <v>126</v>
      </c>
      <c r="C27" s="100" t="s">
        <v>117</v>
      </c>
      <c r="D27" s="97" t="s">
        <v>13</v>
      </c>
      <c r="E27" s="129">
        <v>9.5</v>
      </c>
      <c r="F27" s="130">
        <v>31.18</v>
      </c>
      <c r="G27" s="99">
        <f t="shared" si="0"/>
        <v>296.20999999999998</v>
      </c>
      <c r="H27" s="128"/>
      <c r="I27" s="128"/>
      <c r="J27" s="100" t="s">
        <v>74</v>
      </c>
      <c r="K27" s="133">
        <v>1.5</v>
      </c>
      <c r="L27" s="100"/>
    </row>
    <row r="28" spans="1:12" ht="17" customHeight="1" x14ac:dyDescent="0.2">
      <c r="A28" s="71" t="s">
        <v>18</v>
      </c>
      <c r="B28" s="73" t="s">
        <v>88</v>
      </c>
      <c r="C28" s="71" t="s">
        <v>118</v>
      </c>
      <c r="D28" s="40" t="s">
        <v>13</v>
      </c>
      <c r="E28" s="108">
        <v>9.5</v>
      </c>
      <c r="F28" s="107">
        <v>26.85</v>
      </c>
      <c r="G28" s="74">
        <f t="shared" si="0"/>
        <v>255.07500000000002</v>
      </c>
      <c r="H28" s="111"/>
      <c r="I28" s="111"/>
      <c r="J28" s="71" t="s">
        <v>74</v>
      </c>
      <c r="K28" s="132">
        <v>2.5</v>
      </c>
      <c r="L28" s="71"/>
    </row>
    <row r="29" spans="1:12" ht="17" customHeight="1" x14ac:dyDescent="0.2">
      <c r="A29" s="100" t="s">
        <v>75</v>
      </c>
      <c r="B29" s="95" t="s">
        <v>127</v>
      </c>
      <c r="C29" s="100" t="s">
        <v>119</v>
      </c>
      <c r="D29" s="97" t="s">
        <v>13</v>
      </c>
      <c r="E29" s="129">
        <v>10</v>
      </c>
      <c r="F29" s="130">
        <v>33.6</v>
      </c>
      <c r="G29" s="99">
        <f t="shared" si="0"/>
        <v>336</v>
      </c>
      <c r="H29" s="128"/>
      <c r="I29" s="128"/>
      <c r="J29" s="100" t="s">
        <v>74</v>
      </c>
      <c r="K29" s="133">
        <v>2</v>
      </c>
      <c r="L29" s="100"/>
    </row>
    <row r="30" spans="1:12" ht="17" customHeight="1" x14ac:dyDescent="0.2">
      <c r="A30" s="71" t="s">
        <v>132</v>
      </c>
      <c r="B30" s="73" t="s">
        <v>128</v>
      </c>
      <c r="C30" s="71" t="s">
        <v>120</v>
      </c>
      <c r="D30" s="40" t="s">
        <v>13</v>
      </c>
      <c r="E30" s="108">
        <v>9</v>
      </c>
      <c r="F30" s="107">
        <v>34.4</v>
      </c>
      <c r="G30" s="74">
        <f t="shared" si="0"/>
        <v>309.59999999999997</v>
      </c>
      <c r="H30" s="111"/>
      <c r="I30" s="111"/>
      <c r="J30" s="71" t="s">
        <v>74</v>
      </c>
      <c r="K30" s="132">
        <v>1</v>
      </c>
      <c r="L30" s="71"/>
    </row>
    <row r="31" spans="1:12" ht="17" customHeight="1" x14ac:dyDescent="0.2">
      <c r="A31" s="100" t="s">
        <v>75</v>
      </c>
      <c r="B31" s="95" t="s">
        <v>129</v>
      </c>
      <c r="C31" s="100" t="s">
        <v>121</v>
      </c>
      <c r="D31" s="97" t="s">
        <v>13</v>
      </c>
      <c r="E31" s="129">
        <v>8.5</v>
      </c>
      <c r="F31" s="130">
        <v>8.76</v>
      </c>
      <c r="G31" s="99">
        <f t="shared" si="0"/>
        <v>74.459999999999994</v>
      </c>
      <c r="H31" s="128"/>
      <c r="I31" s="128"/>
      <c r="J31" s="100" t="s">
        <v>74</v>
      </c>
      <c r="K31" s="133">
        <v>1</v>
      </c>
      <c r="L31" s="100"/>
    </row>
    <row r="32" spans="1:12" ht="17" customHeight="1" x14ac:dyDescent="0.2">
      <c r="A32" s="71" t="s">
        <v>75</v>
      </c>
      <c r="B32" s="73" t="s">
        <v>130</v>
      </c>
      <c r="C32" s="71" t="s">
        <v>135</v>
      </c>
      <c r="D32" s="40" t="s">
        <v>13</v>
      </c>
      <c r="E32" s="108">
        <v>8</v>
      </c>
      <c r="F32" s="107">
        <v>44.77</v>
      </c>
      <c r="G32" s="74">
        <f t="shared" si="0"/>
        <v>358.16</v>
      </c>
      <c r="H32" s="111"/>
      <c r="I32" s="111"/>
      <c r="J32" s="71" t="s">
        <v>74</v>
      </c>
      <c r="K32" s="132"/>
      <c r="L32" s="71"/>
    </row>
    <row r="33" spans="1:19" ht="17" customHeight="1" x14ac:dyDescent="0.2">
      <c r="A33" s="100" t="s">
        <v>18</v>
      </c>
      <c r="B33" s="95" t="s">
        <v>131</v>
      </c>
      <c r="C33" s="100" t="s">
        <v>122</v>
      </c>
      <c r="D33" s="97" t="s">
        <v>13</v>
      </c>
      <c r="E33" s="129">
        <v>9.5</v>
      </c>
      <c r="F33" s="130">
        <v>34.340000000000003</v>
      </c>
      <c r="G33" s="99">
        <f t="shared" si="0"/>
        <v>326.23</v>
      </c>
      <c r="H33" s="128"/>
      <c r="I33" s="128"/>
      <c r="J33" s="100" t="s">
        <v>74</v>
      </c>
      <c r="K33" s="133"/>
      <c r="L33" s="100"/>
    </row>
    <row r="34" spans="1:19" ht="17" customHeight="1" x14ac:dyDescent="0.2">
      <c r="A34" s="71" t="s">
        <v>18</v>
      </c>
      <c r="B34" s="73" t="s">
        <v>110</v>
      </c>
      <c r="C34" s="71" t="s">
        <v>123</v>
      </c>
      <c r="D34" s="40" t="s">
        <v>13</v>
      </c>
      <c r="E34" s="108">
        <v>5</v>
      </c>
      <c r="F34" s="107">
        <v>11</v>
      </c>
      <c r="G34" s="74">
        <f t="shared" si="0"/>
        <v>55</v>
      </c>
      <c r="H34" s="111"/>
      <c r="I34" s="111"/>
      <c r="J34" s="71" t="s">
        <v>134</v>
      </c>
      <c r="K34" s="132"/>
      <c r="L34" s="71"/>
    </row>
    <row r="35" spans="1:19" ht="17" customHeight="1" x14ac:dyDescent="0.2">
      <c r="A35" s="100" t="s">
        <v>75</v>
      </c>
      <c r="B35" s="95" t="s">
        <v>106</v>
      </c>
      <c r="C35" s="100" t="s">
        <v>124</v>
      </c>
      <c r="D35" s="97" t="s">
        <v>13</v>
      </c>
      <c r="E35" s="129">
        <v>9.5</v>
      </c>
      <c r="F35" s="130">
        <v>48.18</v>
      </c>
      <c r="G35" s="99">
        <f t="shared" si="0"/>
        <v>457.71</v>
      </c>
      <c r="H35" s="128"/>
      <c r="I35" s="128"/>
      <c r="J35" s="100" t="s">
        <v>74</v>
      </c>
      <c r="K35" s="133">
        <v>2.5</v>
      </c>
      <c r="L35" s="100"/>
    </row>
    <row r="36" spans="1:19" ht="17" customHeight="1" x14ac:dyDescent="0.2">
      <c r="A36" s="71" t="s">
        <v>75</v>
      </c>
      <c r="B36" s="73" t="s">
        <v>133</v>
      </c>
      <c r="C36" s="71" t="s">
        <v>125</v>
      </c>
      <c r="D36" s="40" t="s">
        <v>13</v>
      </c>
      <c r="E36" s="108">
        <v>9.5</v>
      </c>
      <c r="F36" s="107">
        <v>19.170000000000002</v>
      </c>
      <c r="G36" s="74">
        <f t="shared" si="0"/>
        <v>182.11500000000001</v>
      </c>
      <c r="H36" s="111"/>
      <c r="I36" s="111"/>
      <c r="J36" s="71" t="s">
        <v>74</v>
      </c>
      <c r="K36" s="132">
        <v>1.5</v>
      </c>
      <c r="L36" s="71"/>
    </row>
    <row r="37" spans="1:19" ht="17" thickBot="1" x14ac:dyDescent="0.25">
      <c r="A37" s="92"/>
      <c r="B37" s="92"/>
      <c r="C37" s="92"/>
      <c r="D37" s="92"/>
      <c r="E37" s="92"/>
      <c r="F37" s="8">
        <f>+SUM(F6:F26)</f>
        <v>2679.2999999999997</v>
      </c>
      <c r="G37" s="20">
        <f>SUM(G6:G26)</f>
        <v>25261.3115</v>
      </c>
      <c r="H37" s="113">
        <f>+SUM(H6:H26)</f>
        <v>595</v>
      </c>
      <c r="I37" s="114">
        <f>+SUM(I6:I26)</f>
        <v>372.24</v>
      </c>
      <c r="J37" s="81"/>
      <c r="K37" s="81"/>
      <c r="L37" s="81"/>
      <c r="M37" s="82"/>
      <c r="N37" s="82"/>
      <c r="O37" s="82"/>
      <c r="P37" s="82"/>
      <c r="Q37" s="82"/>
    </row>
    <row r="38" spans="1:19" ht="17" thickTop="1" x14ac:dyDescent="0.2">
      <c r="A38" s="69"/>
      <c r="B38" s="69"/>
      <c r="C38" s="69"/>
      <c r="D38" s="69"/>
      <c r="E38" s="69"/>
      <c r="F38" s="69"/>
      <c r="G38" s="83">
        <f>G37+H37+I37</f>
        <v>26228.551500000001</v>
      </c>
      <c r="H38" s="69"/>
      <c r="I38" s="21"/>
      <c r="J38" s="21"/>
      <c r="K38" s="21"/>
      <c r="L38" s="21"/>
      <c r="M38" s="24"/>
      <c r="N38" s="21"/>
      <c r="O38" s="24"/>
      <c r="P38" s="75"/>
      <c r="Q38" s="78"/>
      <c r="R38" s="84"/>
      <c r="S38" s="76"/>
    </row>
    <row r="39" spans="1:19" x14ac:dyDescent="0.2">
      <c r="A39" s="90"/>
      <c r="B39" s="90"/>
      <c r="C39" s="82"/>
      <c r="D39" s="82"/>
      <c r="E39" s="82"/>
      <c r="G39" s="134">
        <f>SUMMARY!C9/(97750.58-10471.92)</f>
        <v>0.34077690354091139</v>
      </c>
      <c r="J39" s="82"/>
      <c r="K39" s="82"/>
      <c r="L39" s="82"/>
      <c r="M39" s="82"/>
      <c r="N39" s="82"/>
      <c r="O39" s="82"/>
      <c r="P39" s="82"/>
      <c r="Q39" s="82"/>
    </row>
    <row r="40" spans="1:19" x14ac:dyDescent="0.2"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</row>
    <row r="41" spans="1:19" x14ac:dyDescent="0.2">
      <c r="D41" s="82"/>
      <c r="E41" s="82"/>
      <c r="F41" s="82"/>
      <c r="G41" s="82"/>
      <c r="H41" s="82" t="s">
        <v>29</v>
      </c>
      <c r="I41" s="82"/>
      <c r="J41" s="82"/>
      <c r="K41" s="82"/>
      <c r="L41" s="82"/>
      <c r="M41" s="82"/>
      <c r="N41" s="82"/>
      <c r="O41" s="82"/>
      <c r="P41" s="82"/>
      <c r="Q41" s="82"/>
    </row>
    <row r="42" spans="1:19" x14ac:dyDescent="0.2">
      <c r="D42" s="82"/>
      <c r="E42" s="82"/>
      <c r="F42" s="82"/>
      <c r="G42" s="85"/>
      <c r="H42" s="82"/>
      <c r="I42" s="82"/>
      <c r="J42" s="82"/>
      <c r="K42" s="82"/>
      <c r="L42" s="82"/>
      <c r="M42" s="82"/>
      <c r="N42" s="82"/>
      <c r="O42" s="82"/>
      <c r="P42" s="82"/>
      <c r="Q42" s="82"/>
    </row>
    <row r="43" spans="1:19" x14ac:dyDescent="0.2">
      <c r="D43" s="82"/>
      <c r="E43" s="82"/>
      <c r="F43" s="82"/>
      <c r="G43" s="82" t="s">
        <v>35</v>
      </c>
      <c r="H43" s="82"/>
      <c r="I43" s="82"/>
      <c r="J43" s="82"/>
      <c r="K43" s="82"/>
      <c r="L43" s="82"/>
      <c r="M43" s="82"/>
      <c r="N43" s="82"/>
      <c r="O43" s="82"/>
      <c r="P43" s="82"/>
      <c r="Q43" s="82"/>
    </row>
    <row r="44" spans="1:19" x14ac:dyDescent="0.2"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</row>
  </sheetData>
  <mergeCells count="3">
    <mergeCell ref="A39:B39"/>
    <mergeCell ref="A1:I2"/>
    <mergeCell ref="A37:E37"/>
  </mergeCells>
  <printOptions gridLines="1"/>
  <pageMargins left="0.74803149606299213" right="0.74803149606299213" top="0.98425196850393704" bottom="0.98425196850393704" header="0.31496062992125984" footer="0.31496062992125984"/>
  <pageSetup paperSize="9" scale="71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A3" sqref="A3"/>
    </sheetView>
  </sheetViews>
  <sheetFormatPr baseColWidth="10" defaultColWidth="11" defaultRowHeight="16" x14ac:dyDescent="0.2"/>
  <cols>
    <col min="1" max="1" width="11" style="3"/>
    <col min="2" max="2" width="23.5" style="3" customWidth="1"/>
    <col min="3" max="16384" width="11" style="3"/>
  </cols>
  <sheetData>
    <row r="1" spans="1:9" x14ac:dyDescent="0.2">
      <c r="A1" s="91" t="s">
        <v>78</v>
      </c>
      <c r="B1" s="91"/>
      <c r="C1" s="91"/>
      <c r="D1" s="91"/>
      <c r="E1" s="91"/>
      <c r="F1" s="91"/>
      <c r="G1" s="91"/>
      <c r="H1" s="91"/>
      <c r="I1" s="91"/>
    </row>
    <row r="2" spans="1:9" x14ac:dyDescent="0.2">
      <c r="A2" s="91"/>
      <c r="B2" s="91"/>
      <c r="C2" s="91"/>
      <c r="D2" s="91"/>
      <c r="E2" s="91"/>
      <c r="F2" s="91"/>
      <c r="G2" s="91"/>
      <c r="H2" s="91"/>
      <c r="I2" s="91"/>
    </row>
    <row r="4" spans="1:9" x14ac:dyDescent="0.2">
      <c r="A4" s="16"/>
      <c r="B4" s="41"/>
      <c r="C4" s="59" t="s">
        <v>23</v>
      </c>
    </row>
    <row r="5" spans="1:9" x14ac:dyDescent="0.2">
      <c r="A5" s="16"/>
      <c r="B5" s="16" t="s">
        <v>10</v>
      </c>
      <c r="C5" s="33">
        <f>'Payroll Carnaby'!G37</f>
        <v>25261.3115</v>
      </c>
    </row>
    <row r="6" spans="1:9" x14ac:dyDescent="0.2">
      <c r="A6" s="16"/>
      <c r="B6" s="16" t="s">
        <v>17</v>
      </c>
      <c r="C6" s="33">
        <f>'Payroll Carnaby'!H37</f>
        <v>595</v>
      </c>
    </row>
    <row r="7" spans="1:9" x14ac:dyDescent="0.2">
      <c r="A7" s="16"/>
      <c r="B7" s="16" t="s">
        <v>22</v>
      </c>
      <c r="C7" s="33">
        <f>'Payroll Carnaby'!I37</f>
        <v>372.24</v>
      </c>
    </row>
    <row r="8" spans="1:9" x14ac:dyDescent="0.2">
      <c r="A8" s="16"/>
      <c r="B8" s="16" t="s">
        <v>21</v>
      </c>
      <c r="C8" s="33">
        <f>'HOLIDAYS AND NOTES'!F31</f>
        <v>3514</v>
      </c>
    </row>
    <row r="9" spans="1:9" ht="17" thickBot="1" x14ac:dyDescent="0.25">
      <c r="A9" s="16"/>
      <c r="B9" s="34" t="s">
        <v>24</v>
      </c>
      <c r="C9" s="35">
        <f>SUM(C5:C8)</f>
        <v>29742.551500000001</v>
      </c>
      <c r="E9" s="60"/>
      <c r="F9" s="22"/>
    </row>
    <row r="10" spans="1:9" ht="17" thickTop="1" x14ac:dyDescent="0.2"/>
    <row r="11" spans="1:9" x14ac:dyDescent="0.2">
      <c r="C11" s="57"/>
    </row>
    <row r="12" spans="1:9" x14ac:dyDescent="0.2">
      <c r="C12" s="36"/>
    </row>
    <row r="16" spans="1:9" x14ac:dyDescent="0.2">
      <c r="E16" s="61"/>
    </row>
  </sheetData>
  <mergeCells count="1">
    <mergeCell ref="A1:I2"/>
  </mergeCells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2"/>
  <sheetViews>
    <sheetView topLeftCell="A2" workbookViewId="0">
      <selection activeCell="D9" sqref="D9"/>
    </sheetView>
  </sheetViews>
  <sheetFormatPr baseColWidth="10" defaultColWidth="8.83203125" defaultRowHeight="16" x14ac:dyDescent="0.2"/>
  <cols>
    <col min="1" max="1" width="18.1640625" style="3" customWidth="1"/>
    <col min="2" max="2" width="15.5" style="3" bestFit="1" customWidth="1"/>
    <col min="3" max="3" width="22.6640625" style="3" bestFit="1" customWidth="1"/>
    <col min="4" max="4" width="13.5" style="3" bestFit="1" customWidth="1"/>
    <col min="5" max="5" width="11.5" style="3" bestFit="1" customWidth="1"/>
    <col min="6" max="6" width="11.33203125" style="3" customWidth="1"/>
    <col min="7" max="255" width="11" style="3" customWidth="1"/>
    <col min="256" max="16384" width="8.83203125" style="3"/>
  </cols>
  <sheetData>
    <row r="1" spans="1:9" x14ac:dyDescent="0.2">
      <c r="C1" s="3" t="str">
        <f>+SUMMARY!A1</f>
        <v>PAYROLL    22 NOV 19 DEC UGLY DUMPLING  TEAM</v>
      </c>
    </row>
    <row r="3" spans="1:9" x14ac:dyDescent="0.2">
      <c r="A3" s="93" t="s">
        <v>6</v>
      </c>
      <c r="B3" s="93"/>
      <c r="C3" s="93"/>
      <c r="D3" s="93"/>
      <c r="E3" s="93"/>
      <c r="F3" s="93"/>
      <c r="G3" s="93"/>
    </row>
    <row r="4" spans="1:9" ht="24" x14ac:dyDescent="0.3">
      <c r="A4" s="94"/>
      <c r="B4" s="94"/>
      <c r="C4" s="94"/>
      <c r="D4" s="94"/>
      <c r="E4" s="94"/>
      <c r="F4" s="94"/>
      <c r="G4" s="94"/>
    </row>
    <row r="5" spans="1:9" x14ac:dyDescent="0.2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7</v>
      </c>
      <c r="G5" s="17"/>
    </row>
    <row r="6" spans="1:9" x14ac:dyDescent="0.2">
      <c r="A6" s="46"/>
      <c r="B6" s="47"/>
      <c r="C6" s="47"/>
      <c r="D6" s="48"/>
      <c r="E6" s="49"/>
      <c r="F6" s="50"/>
      <c r="G6" s="17"/>
    </row>
    <row r="7" spans="1:9" x14ac:dyDescent="0.2">
      <c r="A7" s="46" t="s">
        <v>11</v>
      </c>
      <c r="B7" s="47"/>
      <c r="C7" s="47"/>
      <c r="D7" s="48">
        <v>9</v>
      </c>
      <c r="E7" s="49">
        <v>56</v>
      </c>
      <c r="F7" s="50">
        <f>E7*D7</f>
        <v>504</v>
      </c>
      <c r="G7" s="17"/>
    </row>
    <row r="8" spans="1:9" x14ac:dyDescent="0.2">
      <c r="A8" s="46" t="s">
        <v>79</v>
      </c>
      <c r="B8" s="47"/>
      <c r="C8" s="47"/>
      <c r="D8" s="48">
        <v>9.6999999999999993</v>
      </c>
      <c r="E8" s="49">
        <v>80</v>
      </c>
      <c r="F8" s="50">
        <f t="shared" ref="F8:F12" si="0">E8*D8</f>
        <v>776</v>
      </c>
      <c r="G8" s="17"/>
    </row>
    <row r="9" spans="1:9" x14ac:dyDescent="0.2">
      <c r="A9" s="46" t="s">
        <v>80</v>
      </c>
      <c r="B9" s="47"/>
      <c r="C9" s="47"/>
      <c r="D9" s="48">
        <v>9.5</v>
      </c>
      <c r="E9" s="49">
        <v>40</v>
      </c>
      <c r="F9" s="50">
        <f t="shared" si="0"/>
        <v>380</v>
      </c>
      <c r="G9" s="17"/>
    </row>
    <row r="10" spans="1:9" x14ac:dyDescent="0.2">
      <c r="A10" s="46" t="s">
        <v>81</v>
      </c>
      <c r="B10" s="47"/>
      <c r="C10" s="47"/>
      <c r="D10" s="48">
        <v>9.5</v>
      </c>
      <c r="E10" s="49">
        <v>56</v>
      </c>
      <c r="F10" s="50">
        <f t="shared" si="0"/>
        <v>532</v>
      </c>
      <c r="G10" s="17"/>
    </row>
    <row r="11" spans="1:9" x14ac:dyDescent="0.2">
      <c r="A11" s="46" t="s">
        <v>142</v>
      </c>
      <c r="B11" s="47"/>
      <c r="C11" s="47"/>
      <c r="D11" s="48">
        <v>9.75</v>
      </c>
      <c r="E11" s="49">
        <v>56</v>
      </c>
      <c r="F11" s="50">
        <f t="shared" si="0"/>
        <v>546</v>
      </c>
      <c r="G11" s="17"/>
    </row>
    <row r="12" spans="1:9" x14ac:dyDescent="0.2">
      <c r="A12" s="46" t="s">
        <v>143</v>
      </c>
      <c r="B12" s="47"/>
      <c r="C12" s="47"/>
      <c r="D12" s="48">
        <v>9.6999999999999993</v>
      </c>
      <c r="E12" s="49">
        <v>80</v>
      </c>
      <c r="F12" s="50">
        <f t="shared" si="0"/>
        <v>776</v>
      </c>
      <c r="G12" s="17"/>
    </row>
    <row r="13" spans="1:9" x14ac:dyDescent="0.2">
      <c r="A13" s="51"/>
      <c r="B13" s="13"/>
      <c r="C13" s="15"/>
      <c r="D13" s="52"/>
      <c r="E13" s="53"/>
      <c r="F13" s="54"/>
      <c r="G13" s="18"/>
    </row>
    <row r="14" spans="1:9" ht="17" thickBot="1" x14ac:dyDescent="0.25">
      <c r="A14" s="7" t="s">
        <v>7</v>
      </c>
      <c r="B14" s="8"/>
      <c r="C14" s="8"/>
      <c r="D14" s="8"/>
      <c r="E14" s="8"/>
      <c r="F14" s="19">
        <f>+SUM(F6:F13)</f>
        <v>3514</v>
      </c>
      <c r="G14" s="4"/>
    </row>
    <row r="15" spans="1:9" ht="17" thickTop="1" x14ac:dyDescent="0.2">
      <c r="A15" s="23"/>
      <c r="B15" s="21"/>
      <c r="C15" s="21"/>
      <c r="D15" s="21"/>
      <c r="E15" s="21"/>
      <c r="F15" s="24"/>
      <c r="G15" s="4"/>
    </row>
    <row r="16" spans="1:9" x14ac:dyDescent="0.2">
      <c r="A16" s="93" t="s">
        <v>25</v>
      </c>
      <c r="B16" s="93"/>
      <c r="C16" s="93"/>
      <c r="D16" s="93"/>
      <c r="E16" s="93"/>
      <c r="F16" s="93"/>
      <c r="G16" s="93"/>
      <c r="H16" s="5"/>
      <c r="I16" s="4"/>
    </row>
    <row r="17" spans="1:9" ht="24" x14ac:dyDescent="0.3">
      <c r="A17" s="12"/>
      <c r="B17" s="12"/>
      <c r="C17" s="12"/>
      <c r="G17" s="1"/>
      <c r="H17" s="1"/>
      <c r="I17" s="4"/>
    </row>
    <row r="18" spans="1:9" x14ac:dyDescent="0.2">
      <c r="A18" s="9" t="s">
        <v>1</v>
      </c>
      <c r="B18" s="9" t="s">
        <v>2</v>
      </c>
      <c r="C18" s="10" t="s">
        <v>13</v>
      </c>
      <c r="D18" s="9" t="s">
        <v>8</v>
      </c>
      <c r="E18" s="9" t="s">
        <v>9</v>
      </c>
      <c r="F18" s="9"/>
      <c r="G18" s="6"/>
      <c r="H18" s="1"/>
      <c r="I18" s="4"/>
    </row>
    <row r="19" spans="1:9" x14ac:dyDescent="0.2">
      <c r="A19" s="44"/>
      <c r="B19" s="44"/>
      <c r="C19" s="44"/>
      <c r="D19" s="44"/>
      <c r="E19" s="44"/>
      <c r="F19" s="45"/>
      <c r="G19" s="6"/>
      <c r="H19" s="1"/>
      <c r="I19" s="4"/>
    </row>
    <row r="20" spans="1:9" x14ac:dyDescent="0.2">
      <c r="A20" s="44"/>
      <c r="B20" s="44"/>
      <c r="C20" s="44"/>
      <c r="D20" s="44"/>
      <c r="E20" s="44"/>
      <c r="F20" s="45"/>
      <c r="G20" s="6"/>
      <c r="H20" s="1"/>
      <c r="I20" s="4"/>
    </row>
    <row r="21" spans="1:9" x14ac:dyDescent="0.2">
      <c r="A21" s="44"/>
      <c r="B21" s="44"/>
      <c r="C21" s="44"/>
      <c r="D21" s="44"/>
      <c r="E21" s="44"/>
      <c r="F21" s="45"/>
      <c r="G21" s="6"/>
      <c r="H21" s="1"/>
      <c r="I21" s="4"/>
    </row>
    <row r="22" spans="1:9" x14ac:dyDescent="0.2">
      <c r="A22" s="44"/>
      <c r="B22" s="44"/>
      <c r="C22" s="44"/>
      <c r="D22" s="44"/>
      <c r="E22" s="44"/>
      <c r="F22" s="45"/>
      <c r="G22" s="6"/>
      <c r="H22" s="1"/>
      <c r="I22" s="4"/>
    </row>
    <row r="23" spans="1:9" x14ac:dyDescent="0.2">
      <c r="A23" s="44"/>
      <c r="B23" s="44"/>
      <c r="C23" s="44"/>
      <c r="D23" s="44"/>
      <c r="E23" s="44"/>
      <c r="F23" s="45"/>
      <c r="G23" s="6"/>
      <c r="H23" s="1"/>
      <c r="I23" s="4"/>
    </row>
    <row r="24" spans="1:9" x14ac:dyDescent="0.2">
      <c r="A24" s="42"/>
      <c r="B24" s="42"/>
      <c r="C24" s="39"/>
      <c r="D24" s="38"/>
      <c r="E24" s="38"/>
      <c r="F24" s="5"/>
      <c r="G24" s="6"/>
      <c r="H24" s="1"/>
      <c r="I24" s="4"/>
    </row>
    <row r="25" spans="1:9" x14ac:dyDescent="0.2">
      <c r="A25" s="93" t="s">
        <v>20</v>
      </c>
      <c r="B25" s="93"/>
      <c r="C25" s="93"/>
      <c r="D25" s="93"/>
      <c r="E25" s="93"/>
      <c r="F25" s="93"/>
      <c r="G25" s="93"/>
    </row>
    <row r="26" spans="1:9" x14ac:dyDescent="0.2">
      <c r="A26" s="37"/>
      <c r="B26" s="37"/>
      <c r="C26" s="37"/>
      <c r="D26" s="37"/>
      <c r="E26" s="37"/>
      <c r="F26" s="37"/>
      <c r="G26" s="37"/>
    </row>
    <row r="27" spans="1:9" x14ac:dyDescent="0.2">
      <c r="A27" s="11" t="s">
        <v>1</v>
      </c>
      <c r="B27" s="11" t="s">
        <v>2</v>
      </c>
      <c r="C27" s="11" t="s">
        <v>3</v>
      </c>
      <c r="D27" s="11" t="s">
        <v>4</v>
      </c>
      <c r="E27" s="11" t="s">
        <v>5</v>
      </c>
      <c r="F27" s="11" t="s">
        <v>7</v>
      </c>
      <c r="G27" s="5"/>
    </row>
    <row r="28" spans="1:9" x14ac:dyDescent="0.2">
      <c r="A28" s="46"/>
      <c r="B28" s="47"/>
      <c r="C28" s="47"/>
      <c r="D28" s="48"/>
      <c r="E28" s="49"/>
      <c r="F28" s="50"/>
      <c r="G28" s="5"/>
    </row>
    <row r="29" spans="1:9" ht="17" thickBot="1" x14ac:dyDescent="0.25">
      <c r="A29" s="7"/>
      <c r="B29" s="8"/>
      <c r="C29" s="8"/>
      <c r="D29" s="8"/>
      <c r="E29" s="8"/>
      <c r="F29" s="20"/>
      <c r="G29" s="5"/>
    </row>
    <row r="30" spans="1:9" ht="17" thickTop="1" x14ac:dyDescent="0.2">
      <c r="A30" s="15"/>
      <c r="B30" s="15"/>
      <c r="C30" s="15"/>
      <c r="D30" s="13"/>
      <c r="E30" s="13"/>
      <c r="F30" s="14"/>
      <c r="G30" s="5"/>
    </row>
    <row r="31" spans="1:9" ht="17" thickBot="1" x14ac:dyDescent="0.25">
      <c r="A31" s="7" t="s">
        <v>21</v>
      </c>
      <c r="B31" s="8"/>
      <c r="C31" s="8"/>
      <c r="D31" s="8"/>
      <c r="E31" s="8"/>
      <c r="F31" s="20">
        <f>F28+F14</f>
        <v>3514</v>
      </c>
    </row>
    <row r="32" spans="1:9" ht="17" thickTop="1" x14ac:dyDescent="0.2"/>
  </sheetData>
  <mergeCells count="4">
    <mergeCell ref="A16:G16"/>
    <mergeCell ref="A4:G4"/>
    <mergeCell ref="A25:G25"/>
    <mergeCell ref="A3:G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Q28"/>
  <sheetViews>
    <sheetView topLeftCell="A11" workbookViewId="0">
      <selection activeCell="B12" sqref="B12:B21"/>
    </sheetView>
  </sheetViews>
  <sheetFormatPr baseColWidth="10" defaultColWidth="9" defaultRowHeight="16" x14ac:dyDescent="0.2"/>
  <cols>
    <col min="1" max="1" width="27.33203125" style="25" bestFit="1" customWidth="1"/>
    <col min="2" max="2" width="48" style="25" bestFit="1" customWidth="1"/>
    <col min="3" max="4" width="9" style="25"/>
    <col min="5" max="5" width="14.83203125" style="25" bestFit="1" customWidth="1"/>
    <col min="6" max="6" width="10.6640625" style="25" bestFit="1" customWidth="1"/>
    <col min="7" max="16384" width="9" style="25"/>
  </cols>
  <sheetData>
    <row r="1" spans="1:17" x14ac:dyDescent="0.2">
      <c r="B1" s="25" t="str">
        <f>+SUMMARY!A1</f>
        <v>PAYROLL    22 NOV 19 DEC UGLY DUMPLING  TEAM</v>
      </c>
    </row>
    <row r="2" spans="1:17" x14ac:dyDescent="0.2">
      <c r="A2" s="26" t="s">
        <v>16</v>
      </c>
      <c r="B2" s="26"/>
    </row>
    <row r="4" spans="1:17" x14ac:dyDescent="0.2">
      <c r="A4" s="27"/>
      <c r="B4" s="5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8"/>
    </row>
    <row r="5" spans="1:17" x14ac:dyDescent="0.2">
      <c r="A5" s="27"/>
      <c r="B5" s="55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8"/>
    </row>
    <row r="6" spans="1:17" x14ac:dyDescent="0.2">
      <c r="A6" s="27"/>
      <c r="B6" s="55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8"/>
    </row>
    <row r="7" spans="1:17" x14ac:dyDescent="0.2">
      <c r="A7" s="2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8"/>
    </row>
    <row r="8" spans="1:17" x14ac:dyDescent="0.2">
      <c r="A8" s="2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8"/>
    </row>
    <row r="9" spans="1:17" x14ac:dyDescent="0.2">
      <c r="A9" s="2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8"/>
    </row>
    <row r="10" spans="1:17" ht="17" thickBot="1" x14ac:dyDescent="0.25">
      <c r="A10" s="2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8"/>
    </row>
    <row r="11" spans="1:17" s="124" customFormat="1" ht="19" x14ac:dyDescent="0.25">
      <c r="A11" s="118"/>
      <c r="B11" s="119" t="s">
        <v>30</v>
      </c>
      <c r="C11" s="120" t="s">
        <v>27</v>
      </c>
      <c r="D11" s="120"/>
      <c r="E11" s="120" t="s">
        <v>31</v>
      </c>
      <c r="F11" s="120" t="s">
        <v>28</v>
      </c>
      <c r="G11" s="120" t="s">
        <v>32</v>
      </c>
      <c r="H11" s="120"/>
      <c r="I11" s="120" t="s">
        <v>47</v>
      </c>
      <c r="J11" s="121"/>
      <c r="K11" s="120"/>
      <c r="L11" s="120" t="s">
        <v>56</v>
      </c>
      <c r="M11" s="120"/>
      <c r="N11" s="120" t="s">
        <v>86</v>
      </c>
      <c r="O11" s="121"/>
      <c r="P11" s="122"/>
      <c r="Q11" s="123"/>
    </row>
    <row r="12" spans="1:17" x14ac:dyDescent="0.2">
      <c r="A12" s="27"/>
      <c r="B12" s="55" t="s">
        <v>82</v>
      </c>
      <c r="C12" s="62" t="s">
        <v>145</v>
      </c>
      <c r="D12" s="62"/>
      <c r="E12" s="115">
        <v>26523620</v>
      </c>
      <c r="F12" s="86" t="s">
        <v>85</v>
      </c>
      <c r="G12" s="66" t="s">
        <v>83</v>
      </c>
      <c r="H12" s="55"/>
      <c r="I12" s="56" t="s">
        <v>84</v>
      </c>
      <c r="J12" s="55"/>
      <c r="K12" s="55"/>
      <c r="L12" s="2" t="s">
        <v>116</v>
      </c>
      <c r="M12" s="2"/>
      <c r="N12" s="2" t="s">
        <v>87</v>
      </c>
      <c r="O12" s="2"/>
      <c r="P12" s="2"/>
      <c r="Q12" s="28"/>
    </row>
    <row r="13" spans="1:17" x14ac:dyDescent="0.2">
      <c r="A13" s="27"/>
      <c r="B13" s="55" t="s">
        <v>88</v>
      </c>
      <c r="C13" s="62" t="s">
        <v>145</v>
      </c>
      <c r="D13" s="62"/>
      <c r="E13" s="116">
        <v>66265444</v>
      </c>
      <c r="F13" s="86" t="s">
        <v>85</v>
      </c>
      <c r="G13" s="66" t="s">
        <v>91</v>
      </c>
      <c r="H13" s="55"/>
      <c r="I13" s="56" t="s">
        <v>92</v>
      </c>
      <c r="J13" s="55"/>
      <c r="K13" s="55"/>
      <c r="L13" s="2" t="s">
        <v>90</v>
      </c>
      <c r="M13" s="2"/>
      <c r="N13" s="2" t="s">
        <v>89</v>
      </c>
      <c r="O13" s="2"/>
      <c r="P13" s="2"/>
      <c r="Q13" s="28"/>
    </row>
    <row r="14" spans="1:17" x14ac:dyDescent="0.2">
      <c r="A14" s="27"/>
      <c r="B14" s="55" t="s">
        <v>93</v>
      </c>
      <c r="C14" s="62" t="s">
        <v>94</v>
      </c>
      <c r="D14" s="62"/>
      <c r="E14" s="115">
        <v>69133980</v>
      </c>
      <c r="F14" s="87" t="s">
        <v>85</v>
      </c>
      <c r="G14" s="66"/>
      <c r="H14" s="55"/>
      <c r="I14" s="56"/>
      <c r="J14" s="55"/>
      <c r="K14" s="55"/>
      <c r="L14" s="2"/>
      <c r="M14" s="2"/>
      <c r="N14" s="2"/>
      <c r="O14" s="2"/>
      <c r="P14" s="2"/>
      <c r="Q14" s="28"/>
    </row>
    <row r="15" spans="1:17" x14ac:dyDescent="0.2">
      <c r="A15" s="27"/>
      <c r="B15" s="55" t="s">
        <v>95</v>
      </c>
      <c r="C15" s="62" t="s">
        <v>96</v>
      </c>
      <c r="D15" s="62"/>
      <c r="E15" s="115" t="s">
        <v>144</v>
      </c>
      <c r="F15" s="86">
        <v>47127</v>
      </c>
      <c r="G15" s="66"/>
      <c r="H15" s="55"/>
      <c r="I15" s="56"/>
      <c r="J15" s="55"/>
      <c r="K15" s="55"/>
      <c r="L15" s="2"/>
      <c r="M15" s="2"/>
      <c r="N15" s="2"/>
      <c r="O15" s="2"/>
      <c r="P15" s="2"/>
      <c r="Q15" s="28"/>
    </row>
    <row r="16" spans="1:17" x14ac:dyDescent="0.2">
      <c r="A16" s="27"/>
      <c r="B16" s="55" t="s">
        <v>97</v>
      </c>
      <c r="C16" s="62" t="s">
        <v>98</v>
      </c>
      <c r="D16" s="62"/>
      <c r="E16" s="115">
        <v>13019780</v>
      </c>
      <c r="F16" s="86" t="s">
        <v>99</v>
      </c>
      <c r="G16" s="66"/>
      <c r="H16" s="55"/>
      <c r="I16" s="56"/>
      <c r="J16" s="55"/>
      <c r="K16" s="55"/>
      <c r="L16" s="2"/>
      <c r="M16" s="2"/>
      <c r="N16" s="2"/>
      <c r="O16" s="2"/>
      <c r="P16" s="2"/>
      <c r="Q16" s="28"/>
    </row>
    <row r="17" spans="1:17" x14ac:dyDescent="0.2">
      <c r="A17" s="27"/>
      <c r="B17" s="55" t="s">
        <v>100</v>
      </c>
      <c r="C17" s="62" t="s">
        <v>101</v>
      </c>
      <c r="D17" s="62"/>
      <c r="E17" s="115">
        <v>79159768</v>
      </c>
      <c r="F17" s="86" t="s">
        <v>102</v>
      </c>
      <c r="G17" s="66"/>
      <c r="H17" s="55"/>
      <c r="I17" s="56"/>
      <c r="J17" s="55"/>
      <c r="K17" s="55"/>
      <c r="L17" s="2"/>
      <c r="M17" s="2"/>
      <c r="N17" s="2"/>
      <c r="O17" s="2"/>
      <c r="P17" s="2"/>
      <c r="Q17" s="28"/>
    </row>
    <row r="18" spans="1:17" x14ac:dyDescent="0.2">
      <c r="A18" s="32"/>
      <c r="B18" s="55" t="s">
        <v>103</v>
      </c>
      <c r="C18" s="62" t="s">
        <v>104</v>
      </c>
      <c r="D18" s="62"/>
      <c r="E18" s="117">
        <v>66342560</v>
      </c>
      <c r="F18" s="88" t="s">
        <v>105</v>
      </c>
      <c r="G18" s="66"/>
      <c r="H18" s="55"/>
      <c r="I18" s="56"/>
      <c r="J18" s="55"/>
      <c r="K18" s="55"/>
      <c r="L18" s="2"/>
      <c r="M18" s="2"/>
      <c r="N18" s="2"/>
      <c r="O18" s="2"/>
      <c r="P18" s="2"/>
      <c r="Q18" s="28"/>
    </row>
    <row r="19" spans="1:17" x14ac:dyDescent="0.2">
      <c r="A19" s="32"/>
      <c r="B19" s="55" t="s">
        <v>110</v>
      </c>
      <c r="C19" s="62" t="s">
        <v>114</v>
      </c>
      <c r="D19" s="62"/>
      <c r="E19" s="117">
        <v>40495160</v>
      </c>
      <c r="F19" s="88" t="s">
        <v>115</v>
      </c>
      <c r="G19" s="66"/>
      <c r="H19" s="55"/>
      <c r="I19" s="56"/>
      <c r="J19" s="55"/>
      <c r="K19" s="55"/>
      <c r="L19" s="2"/>
      <c r="M19" s="2"/>
      <c r="N19" s="2"/>
      <c r="O19" s="2"/>
      <c r="P19" s="2"/>
      <c r="Q19" s="28"/>
    </row>
    <row r="20" spans="1:17" x14ac:dyDescent="0.2">
      <c r="A20" s="32"/>
      <c r="B20" s="55" t="s">
        <v>107</v>
      </c>
      <c r="C20" s="62" t="s">
        <v>108</v>
      </c>
      <c r="D20" s="62"/>
      <c r="E20" s="116">
        <v>60160962</v>
      </c>
      <c r="F20" s="87" t="s">
        <v>109</v>
      </c>
      <c r="G20" s="66"/>
      <c r="H20" s="55"/>
      <c r="I20" s="56"/>
      <c r="J20" s="55"/>
      <c r="K20" s="55"/>
      <c r="L20" s="2"/>
      <c r="M20" s="2"/>
      <c r="N20" s="2"/>
      <c r="O20" s="2"/>
      <c r="P20" s="2"/>
      <c r="Q20" s="28"/>
    </row>
    <row r="21" spans="1:17" x14ac:dyDescent="0.2">
      <c r="A21" s="32"/>
      <c r="B21" s="55" t="s">
        <v>111</v>
      </c>
      <c r="C21" s="62" t="s">
        <v>112</v>
      </c>
      <c r="D21" s="62"/>
      <c r="E21" s="116">
        <v>57799170</v>
      </c>
      <c r="F21" s="87" t="s">
        <v>113</v>
      </c>
      <c r="G21" s="66"/>
      <c r="H21" s="55"/>
      <c r="I21" s="56"/>
      <c r="J21" s="55"/>
      <c r="K21" s="55"/>
      <c r="L21" s="2"/>
      <c r="M21" s="2"/>
      <c r="N21" s="2"/>
      <c r="O21" s="2"/>
      <c r="P21" s="2"/>
      <c r="Q21" s="28"/>
    </row>
    <row r="22" spans="1:17" x14ac:dyDescent="0.2">
      <c r="A22" s="32"/>
      <c r="B22" s="55"/>
      <c r="C22" s="62"/>
      <c r="D22" s="62"/>
      <c r="E22" s="66"/>
      <c r="F22" s="87"/>
      <c r="G22" s="66"/>
      <c r="H22" s="55"/>
      <c r="I22" s="56"/>
      <c r="J22" s="55"/>
      <c r="K22" s="55"/>
      <c r="L22" s="2"/>
      <c r="M22" s="2"/>
      <c r="N22" s="2"/>
      <c r="O22" s="2"/>
      <c r="P22" s="2"/>
      <c r="Q22" s="28"/>
    </row>
    <row r="23" spans="1:17" x14ac:dyDescent="0.2">
      <c r="A23" s="32"/>
      <c r="B23" s="55"/>
      <c r="C23" s="62"/>
      <c r="D23" s="62"/>
      <c r="E23" s="66"/>
      <c r="F23" s="87"/>
      <c r="G23" s="66"/>
      <c r="H23" s="55"/>
      <c r="I23" s="56"/>
      <c r="J23" s="55"/>
      <c r="K23" s="55"/>
      <c r="L23" s="2"/>
      <c r="M23" s="2"/>
      <c r="N23" s="2"/>
      <c r="O23" s="2"/>
      <c r="P23" s="2"/>
      <c r="Q23" s="28"/>
    </row>
    <row r="24" spans="1:17" x14ac:dyDescent="0.2">
      <c r="A24" s="27"/>
      <c r="B24" s="55"/>
      <c r="C24" s="62"/>
      <c r="D24" s="62"/>
      <c r="E24" s="66"/>
      <c r="F24" s="89"/>
      <c r="G24" s="66"/>
      <c r="H24" s="55"/>
      <c r="I24" s="56"/>
      <c r="J24" s="55"/>
      <c r="K24" s="55"/>
      <c r="L24" s="2"/>
      <c r="M24" s="2"/>
      <c r="N24" s="2"/>
      <c r="O24" s="2"/>
      <c r="P24" s="2"/>
      <c r="Q24" s="28"/>
    </row>
    <row r="25" spans="1:17" x14ac:dyDescent="0.2">
      <c r="A25" s="2"/>
      <c r="B25" s="55"/>
      <c r="C25" s="62"/>
      <c r="D25" s="63"/>
      <c r="E25" s="65"/>
      <c r="F25" s="65"/>
      <c r="G25" s="66"/>
      <c r="H25" s="55"/>
      <c r="I25" s="56"/>
      <c r="J25" s="55"/>
      <c r="K25" s="55"/>
      <c r="L25" s="2"/>
      <c r="M25" s="2"/>
      <c r="N25" s="2"/>
      <c r="O25" s="2"/>
      <c r="P25" s="2"/>
      <c r="Q25" s="28"/>
    </row>
    <row r="26" spans="1:17" x14ac:dyDescent="0.2">
      <c r="A26" s="27"/>
      <c r="B26" s="55"/>
      <c r="C26" s="62"/>
      <c r="D26" s="62"/>
      <c r="E26" s="66"/>
      <c r="F26" s="66"/>
      <c r="G26" s="66"/>
      <c r="H26" s="55"/>
      <c r="I26" s="55"/>
      <c r="J26" s="55"/>
      <c r="K26" s="55"/>
      <c r="L26" s="2"/>
      <c r="M26" s="2"/>
      <c r="N26" s="2"/>
      <c r="O26" s="2"/>
      <c r="P26" s="2"/>
      <c r="Q26" s="28"/>
    </row>
    <row r="27" spans="1:17" x14ac:dyDescent="0.2">
      <c r="A27" s="29"/>
      <c r="B27" s="30"/>
      <c r="C27" s="64"/>
      <c r="D27" s="64"/>
      <c r="E27" s="67"/>
      <c r="F27" s="67"/>
      <c r="G27" s="68"/>
      <c r="H27" s="30"/>
      <c r="I27" s="30"/>
      <c r="J27" s="30"/>
      <c r="K27" s="30"/>
      <c r="L27" s="30"/>
      <c r="M27" s="30"/>
      <c r="N27" s="30"/>
      <c r="O27" s="30"/>
      <c r="P27" s="30"/>
      <c r="Q27" s="31"/>
    </row>
    <row r="28" spans="1:17" x14ac:dyDescent="0.2">
      <c r="E28" s="43"/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Payroll Carnaby</vt:lpstr>
      <vt:lpstr>SUMMARY</vt:lpstr>
      <vt:lpstr>HOLIDAYS AND NOTES</vt:lpstr>
      <vt:lpstr>NOTES </vt:lpstr>
      <vt:lpstr>'HOLIDAYS AND NOTES'!Print_Area</vt:lpstr>
      <vt:lpstr>'Payroll Carnaby'!Print_Area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2022-01-25T11:16:04Z</dcterms:modified>
</cp:coreProperties>
</file>