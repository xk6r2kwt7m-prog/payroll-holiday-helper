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A0E2B55D-C264-0446-BD31-C0DED5C73E70}" xr6:coauthVersionLast="47" xr6:coauthVersionMax="47" xr10:uidLastSave="{00000000-0000-0000-0000-000000000000}"/>
  <bookViews>
    <workbookView xWindow="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K17" i="9"/>
  <c r="K7" i="9"/>
  <c r="J39" i="9"/>
  <c r="J35" i="9"/>
  <c r="F6" i="2"/>
  <c r="K33" i="9" l="1"/>
  <c r="K28" i="9"/>
  <c r="B4" i="3"/>
  <c r="K39" i="9"/>
  <c r="E6" i="2"/>
  <c r="K19" i="9"/>
  <c r="H40" i="9"/>
  <c r="K35" i="9"/>
  <c r="K36" i="9"/>
  <c r="K8" i="9"/>
  <c r="K9" i="9"/>
  <c r="K10" i="9"/>
  <c r="K11" i="9"/>
  <c r="K12" i="9"/>
  <c r="K14" i="9"/>
  <c r="K15" i="9"/>
  <c r="K16" i="9"/>
  <c r="K18" i="9"/>
  <c r="K20" i="9"/>
  <c r="K21" i="9"/>
  <c r="K22" i="9"/>
  <c r="K23" i="9"/>
  <c r="K24" i="9"/>
  <c r="K25" i="9"/>
  <c r="K26" i="9"/>
  <c r="K27" i="9"/>
  <c r="K29" i="9"/>
  <c r="K30" i="9"/>
  <c r="K31" i="9"/>
  <c r="K32" i="9"/>
  <c r="K34" i="9"/>
  <c r="K37" i="9"/>
  <c r="K38" i="9"/>
  <c r="K13" i="9"/>
  <c r="G8" i="2"/>
  <c r="D7" i="6"/>
  <c r="D8" i="6"/>
  <c r="G10" i="2"/>
  <c r="G9" i="2"/>
  <c r="K40" i="9" l="1"/>
  <c r="C7" i="3" s="1"/>
  <c r="G6" i="2"/>
  <c r="J40" i="9"/>
  <c r="G7" i="2" l="1"/>
  <c r="B23" i="6"/>
  <c r="G26" i="6" l="1"/>
  <c r="F26" i="6"/>
  <c r="F27" i="6"/>
  <c r="E25" i="6"/>
  <c r="F8" i="6"/>
  <c r="G8" i="6"/>
  <c r="G11" i="2" l="1"/>
  <c r="C9" i="3" s="1"/>
  <c r="H8" i="6"/>
  <c r="I8" i="6" s="1"/>
  <c r="L7" i="6" l="1"/>
  <c r="F7" i="6" l="1"/>
  <c r="G7" i="6" l="1"/>
  <c r="H7" i="6" l="1"/>
  <c r="L8" i="6"/>
  <c r="I7" i="6" l="1"/>
  <c r="J7" i="6" s="1"/>
  <c r="J8" i="6"/>
  <c r="I35" i="9" s="1"/>
  <c r="I40" i="9" s="1"/>
  <c r="C8" i="3" s="1"/>
  <c r="K8" i="6" l="1"/>
  <c r="C10" i="3"/>
  <c r="K7" i="6" l="1"/>
  <c r="D1" i="2"/>
</calcChain>
</file>

<file path=xl/sharedStrings.xml><?xml version="1.0" encoding="utf-8"?>
<sst xmlns="http://schemas.openxmlformats.org/spreadsheetml/2006/main" count="139" uniqueCount="133">
  <si>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</si>
  <si>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</si>
  <si>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</si>
  <si>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</si>
  <si>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</si>
  <si>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</si>
  <si>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</si>
  <si>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</si>
  <si>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</si>
  <si>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</si>
  <si>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</si>
  <si>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</si>
  <si>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</si>
  <si>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</si>
  <si>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</si>
  <si>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</si>
  <si>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</si>
  <si>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</si>
  <si>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</si>
  <si>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</si>
  <si>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</si>
  <si>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</si>
  <si>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</si>
  <si>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</si>
  <si>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</si>
  <si>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</si>
  <si>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</si>
  <si>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</si>
  <si>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</si>
  <si>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</si>
  <si>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</si>
  <si>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</si>
  <si>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</si>
  <si>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</si>
  <si>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</si>
  <si>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</si>
  <si>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</si>
  <si>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</si>
  <si>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</si>
  <si>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</si>
  <si>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Olga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</si>
  <si>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</si>
  <si>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</si>
  <si>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</si>
  <si>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</si>
  <si>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</si>
  <si>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</si>
  <si>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</si>
  <si>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</si>
  <si>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</si>
  <si>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</si>
  <si>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</si>
  <si>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</si>
  <si>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</si>
  <si>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</si>
  <si>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</si>
  <si>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</si>
  <si>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</si>
  <si>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</si>
  <si>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</si>
  <si>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</si>
  <si>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</si>
  <si>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</si>
  <si>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</si>
  <si>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</si>
  <si>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George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</si>
  <si>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</si>
  <si>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</si>
  <si>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</si>
  <si>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</si>
  <si>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</si>
  <si>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</si>
  <si>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</si>
  <si>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</si>
  <si>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</si>
  <si>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</si>
  <si>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</si>
  <si>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</si>
  <si>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</si>
  <si>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Ania </t>
  </si>
  <si>
    <t xml:space="preserve">Department </t>
  </si>
  <si>
    <t>Rios</t>
  </si>
  <si>
    <t xml:space="preserve">Man 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</si>
  <si>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</si>
  <si>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</si>
  <si>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</si>
  <si>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</si>
  <si>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</si>
  <si>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</si>
  <si>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Stratcham </t>
  </si>
  <si>
    <t xml:space="preserve">Ferreira da Mata </t>
  </si>
  <si>
    <t xml:space="preserve">BOH </t>
  </si>
  <si>
    <t>Anny</t>
  </si>
  <si>
    <t xml:space="preserve">Hafiz </t>
  </si>
  <si>
    <t xml:space="preserve">Akshay </t>
  </si>
  <si>
    <t xml:space="preserve">CPU </t>
  </si>
  <si>
    <t xml:space="preserve">Lorna </t>
  </si>
  <si>
    <t xml:space="preserve">Quilumba </t>
  </si>
  <si>
    <t xml:space="preserve">Mathew </t>
  </si>
  <si>
    <t xml:space="preserve">Kelsey </t>
  </si>
  <si>
    <t>Oil Lan</t>
  </si>
  <si>
    <t xml:space="preserve">FOH </t>
  </si>
  <si>
    <t xml:space="preserve">Total </t>
  </si>
  <si>
    <t xml:space="preserve">starter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</si>
  <si>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</si>
  <si>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</si>
  <si>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</si>
  <si>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</si>
  <si>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</si>
  <si>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</si>
  <si>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</si>
  <si>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Safia </t>
  </si>
  <si>
    <t xml:space="preserve">Zineb </t>
  </si>
  <si>
    <t>Zanouny</t>
  </si>
  <si>
    <t xml:space="preserve"> Thomas-knott </t>
  </si>
  <si>
    <t xml:space="preserve">Leloup </t>
  </si>
  <si>
    <t>Setareh</t>
  </si>
  <si>
    <t xml:space="preserve">HOLIDAYS </t>
  </si>
  <si>
    <t xml:space="preserve">TIMESHEET </t>
  </si>
  <si>
    <t>Ref.:</t>
  </si>
  <si>
    <t xml:space="preserve">20th of NOV to 17th of DEC  </t>
  </si>
  <si>
    <t>Saicharan</t>
  </si>
  <si>
    <t>Manepalli</t>
  </si>
  <si>
    <t>pay rise to 11.5</t>
  </si>
  <si>
    <t>pay rise 11.5</t>
  </si>
  <si>
    <t>pay rise 12.5</t>
  </si>
  <si>
    <t>04.00.75</t>
  </si>
  <si>
    <t>RT1060101</t>
  </si>
  <si>
    <t xml:space="preserve">Saisharan Manepalli </t>
  </si>
  <si>
    <t xml:space="preserve">leaver </t>
  </si>
  <si>
    <t xml:space="preserve">Jhulia </t>
  </si>
  <si>
    <t xml:space="preserve">Galicia </t>
  </si>
  <si>
    <t>payrise £10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</si>
</sst>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5" borderId="14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165" fontId="9" fillId="5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165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165" fontId="14" fillId="5" borderId="0" xfId="0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I15" sqref="I15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70"/>
      <c r="C6" s="71" t="s">
        <v>7</v>
      </c>
    </row>
    <row r="7" spans="1:6" ht="17" thickTop="1" x14ac:dyDescent="0.2">
      <c r="B7" s="5" t="s">
        <v>118</v>
      </c>
      <c r="C7" s="10">
        <f>+'Timesheet '!K40</f>
        <v>44838.70380000001</v>
      </c>
    </row>
    <row r="8" spans="1:6" x14ac:dyDescent="0.2">
      <c r="B8" s="5" t="s">
        <v>50</v>
      </c>
      <c r="C8" s="10">
        <f>+'Timesheet '!I40+'Timesheet '!H40</f>
        <v>1332.4875000000002</v>
      </c>
    </row>
    <row r="9" spans="1:6" x14ac:dyDescent="0.2">
      <c r="B9" s="5" t="s">
        <v>117</v>
      </c>
      <c r="C9" s="10">
        <f>'Holiday notes '!G11</f>
        <v>564</v>
      </c>
    </row>
    <row r="10" spans="1:6" ht="33" customHeight="1" thickBot="1" x14ac:dyDescent="0.25">
      <c r="B10" s="11" t="s">
        <v>8</v>
      </c>
      <c r="C10" s="17">
        <f>SUM(C7:C9)</f>
        <v>46735.191300000013</v>
      </c>
    </row>
    <row r="11" spans="1:6" ht="17" thickTop="1" x14ac:dyDescent="0.2"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0"/>
  <sheetViews>
    <sheetView tabSelected="1" zoomScale="110" zoomScaleNormal="110" workbookViewId="0">
      <selection activeCell="H21" sqref="H21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7.33203125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61" t="s">
        <v>108</v>
      </c>
      <c r="C2" s="19"/>
    </row>
    <row r="3" spans="2:12" x14ac:dyDescent="0.2">
      <c r="B3" s="62" t="s">
        <v>109</v>
      </c>
      <c r="C3" s="5" t="s">
        <v>120</v>
      </c>
    </row>
    <row r="4" spans="2:12" ht="15" thickBot="1" x14ac:dyDescent="0.25"/>
    <row r="5" spans="2:12" ht="3" customHeight="1" x14ac:dyDescent="0.2">
      <c r="B5" s="31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2:12" ht="29" customHeight="1" thickBot="1" x14ac:dyDescent="0.25">
      <c r="B6" s="63" t="s">
        <v>80</v>
      </c>
      <c r="C6" s="64" t="s">
        <v>105</v>
      </c>
      <c r="D6" s="64" t="s">
        <v>70</v>
      </c>
      <c r="E6" s="64" t="s">
        <v>69</v>
      </c>
      <c r="F6" s="64" t="s">
        <v>71</v>
      </c>
      <c r="G6" s="64" t="s">
        <v>74</v>
      </c>
      <c r="H6" s="64" t="s">
        <v>15</v>
      </c>
      <c r="I6" s="64" t="s">
        <v>75</v>
      </c>
      <c r="J6" s="64" t="s">
        <v>72</v>
      </c>
      <c r="K6" s="64" t="s">
        <v>73</v>
      </c>
      <c r="L6" s="65" t="s">
        <v>106</v>
      </c>
    </row>
    <row r="7" spans="2:12" ht="16" customHeight="1" x14ac:dyDescent="0.2">
      <c r="B7" s="107" t="s">
        <v>101</v>
      </c>
      <c r="C7" s="44"/>
      <c r="D7" s="38" t="s">
        <v>12</v>
      </c>
      <c r="E7" s="38" t="s">
        <v>76</v>
      </c>
      <c r="F7" s="46">
        <v>11</v>
      </c>
      <c r="G7" s="46">
        <v>4</v>
      </c>
      <c r="H7" s="46">
        <v>160</v>
      </c>
      <c r="I7" s="46"/>
      <c r="J7" s="45">
        <v>145.71</v>
      </c>
      <c r="K7" s="46">
        <f>+F7*J7+(G7*J7)+H7</f>
        <v>2345.65</v>
      </c>
      <c r="L7" s="47"/>
    </row>
    <row r="8" spans="2:12" x14ac:dyDescent="0.2">
      <c r="B8" s="108"/>
      <c r="C8" s="48"/>
      <c r="D8" s="39" t="s">
        <v>77</v>
      </c>
      <c r="E8" s="39" t="s">
        <v>81</v>
      </c>
      <c r="F8" s="50">
        <v>11</v>
      </c>
      <c r="G8" s="50">
        <v>2.5</v>
      </c>
      <c r="H8" s="50">
        <v>110</v>
      </c>
      <c r="I8" s="50"/>
      <c r="J8" s="49">
        <v>143.75</v>
      </c>
      <c r="K8" s="50">
        <f t="shared" ref="K8:K39" si="0">+F8*J8+(G8*J8)+H8</f>
        <v>2050.625</v>
      </c>
      <c r="L8" s="51"/>
    </row>
    <row r="9" spans="2:12" x14ac:dyDescent="0.2">
      <c r="B9" s="108"/>
      <c r="C9" s="48"/>
      <c r="D9" s="40" t="s">
        <v>46</v>
      </c>
      <c r="E9" s="40" t="s">
        <v>47</v>
      </c>
      <c r="F9" s="53">
        <v>10</v>
      </c>
      <c r="G9" s="53">
        <v>1</v>
      </c>
      <c r="H9" s="53">
        <v>50</v>
      </c>
      <c r="I9" s="53"/>
      <c r="J9" s="52">
        <v>134.88999999999999</v>
      </c>
      <c r="K9" s="53">
        <f t="shared" si="0"/>
        <v>1533.79</v>
      </c>
      <c r="L9" s="54"/>
    </row>
    <row r="10" spans="2:12" x14ac:dyDescent="0.2">
      <c r="B10" s="108"/>
      <c r="C10" s="48"/>
      <c r="D10" s="39" t="s">
        <v>66</v>
      </c>
      <c r="E10" s="39" t="s">
        <v>67</v>
      </c>
      <c r="F10" s="50">
        <v>10.18</v>
      </c>
      <c r="G10" s="50">
        <v>0.5</v>
      </c>
      <c r="H10" s="50"/>
      <c r="I10" s="50"/>
      <c r="J10" s="49">
        <v>92.04</v>
      </c>
      <c r="K10" s="50">
        <f t="shared" si="0"/>
        <v>982.98720000000003</v>
      </c>
      <c r="L10" s="51"/>
    </row>
    <row r="11" spans="2:12" x14ac:dyDescent="0.2">
      <c r="B11" s="108"/>
      <c r="C11" s="48"/>
      <c r="D11" s="119" t="s">
        <v>78</v>
      </c>
      <c r="E11" s="119" t="s">
        <v>83</v>
      </c>
      <c r="F11" s="120">
        <v>10</v>
      </c>
      <c r="G11" s="120">
        <v>0.5</v>
      </c>
      <c r="H11" s="120"/>
      <c r="I11" s="120"/>
      <c r="J11" s="121">
        <v>66.42</v>
      </c>
      <c r="K11" s="120">
        <f t="shared" si="0"/>
        <v>697.41000000000008</v>
      </c>
      <c r="L11" s="122" t="s">
        <v>132</v>
      </c>
    </row>
    <row r="12" spans="2:12" x14ac:dyDescent="0.2">
      <c r="B12" s="108"/>
      <c r="C12" s="60" t="s">
        <v>129</v>
      </c>
      <c r="D12" s="39" t="s">
        <v>79</v>
      </c>
      <c r="E12" s="39" t="s">
        <v>82</v>
      </c>
      <c r="F12" s="50">
        <v>10</v>
      </c>
      <c r="G12" s="50">
        <v>0.6</v>
      </c>
      <c r="H12" s="50"/>
      <c r="I12" s="50"/>
      <c r="J12" s="49">
        <v>22.75</v>
      </c>
      <c r="K12" s="50">
        <f t="shared" si="0"/>
        <v>241.15</v>
      </c>
      <c r="L12" s="51"/>
    </row>
    <row r="13" spans="2:12" x14ac:dyDescent="0.2">
      <c r="B13" s="108"/>
      <c r="C13" s="48"/>
      <c r="D13" s="119" t="s">
        <v>62</v>
      </c>
      <c r="E13" s="119" t="s">
        <v>87</v>
      </c>
      <c r="F13" s="120">
        <v>11.5</v>
      </c>
      <c r="G13" s="120">
        <v>3</v>
      </c>
      <c r="H13" s="120">
        <v>130</v>
      </c>
      <c r="I13" s="120"/>
      <c r="J13" s="121">
        <v>174.89</v>
      </c>
      <c r="K13" s="120">
        <f t="shared" si="0"/>
        <v>2665.9049999999997</v>
      </c>
      <c r="L13" s="122" t="s">
        <v>123</v>
      </c>
    </row>
    <row r="14" spans="2:12" x14ac:dyDescent="0.2">
      <c r="B14" s="108"/>
      <c r="C14" s="48"/>
      <c r="D14" s="39" t="s">
        <v>51</v>
      </c>
      <c r="E14" s="39" t="s">
        <v>52</v>
      </c>
      <c r="F14" s="50">
        <v>10.42</v>
      </c>
      <c r="G14" s="50">
        <v>1</v>
      </c>
      <c r="H14" s="123"/>
      <c r="I14" s="50"/>
      <c r="J14" s="49">
        <v>149.93</v>
      </c>
      <c r="K14" s="50">
        <f t="shared" si="0"/>
        <v>1712.2006000000001</v>
      </c>
      <c r="L14" s="51"/>
    </row>
    <row r="15" spans="2:12" x14ac:dyDescent="0.2">
      <c r="B15" s="108"/>
      <c r="C15" s="48"/>
      <c r="D15" s="119" t="s">
        <v>45</v>
      </c>
      <c r="E15" s="119" t="s">
        <v>89</v>
      </c>
      <c r="F15" s="120">
        <v>11</v>
      </c>
      <c r="G15" s="120">
        <v>1</v>
      </c>
      <c r="H15" s="120">
        <v>50</v>
      </c>
      <c r="I15" s="120"/>
      <c r="J15" s="121">
        <v>129.79</v>
      </c>
      <c r="K15" s="120">
        <f t="shared" si="0"/>
        <v>1607.4799999999998</v>
      </c>
      <c r="L15" s="122"/>
    </row>
    <row r="16" spans="2:12" x14ac:dyDescent="0.2">
      <c r="B16" s="108"/>
      <c r="C16" s="48"/>
      <c r="D16" s="39" t="s">
        <v>112</v>
      </c>
      <c r="E16" s="39" t="s">
        <v>113</v>
      </c>
      <c r="F16" s="50">
        <v>10.42</v>
      </c>
      <c r="G16" s="50">
        <v>0.6</v>
      </c>
      <c r="H16" s="50"/>
      <c r="I16" s="50"/>
      <c r="J16" s="49">
        <v>71.69</v>
      </c>
      <c r="K16" s="50">
        <f t="shared" si="0"/>
        <v>790.02379999999994</v>
      </c>
      <c r="L16" s="51"/>
    </row>
    <row r="17" spans="2:12" x14ac:dyDescent="0.2">
      <c r="B17" s="108"/>
      <c r="C17" s="48"/>
      <c r="D17" s="40" t="s">
        <v>130</v>
      </c>
      <c r="E17" s="40" t="s">
        <v>131</v>
      </c>
      <c r="F17" s="53">
        <v>9.5</v>
      </c>
      <c r="G17" s="53">
        <v>0.5</v>
      </c>
      <c r="H17" s="53"/>
      <c r="I17" s="53"/>
      <c r="J17" s="52">
        <v>64.73</v>
      </c>
      <c r="K17" s="53">
        <f t="shared" si="0"/>
        <v>647.30000000000007</v>
      </c>
      <c r="L17" s="54"/>
    </row>
    <row r="18" spans="2:12" x14ac:dyDescent="0.2">
      <c r="B18" s="108"/>
      <c r="C18" s="48"/>
      <c r="D18" s="39" t="s">
        <v>88</v>
      </c>
      <c r="E18" s="39" t="s">
        <v>90</v>
      </c>
      <c r="F18" s="50">
        <v>10</v>
      </c>
      <c r="G18" s="50">
        <v>0.5</v>
      </c>
      <c r="H18" s="50"/>
      <c r="I18" s="50"/>
      <c r="J18" s="49">
        <v>51.07</v>
      </c>
      <c r="K18" s="50">
        <f t="shared" si="0"/>
        <v>536.23500000000001</v>
      </c>
      <c r="L18" s="51"/>
    </row>
    <row r="19" spans="2:12" ht="15" thickBot="1" x14ac:dyDescent="0.25">
      <c r="B19" s="109"/>
      <c r="C19" s="48"/>
      <c r="D19" s="40" t="s">
        <v>110</v>
      </c>
      <c r="E19" s="40" t="s">
        <v>114</v>
      </c>
      <c r="F19" s="53">
        <v>9.5</v>
      </c>
      <c r="G19" s="53">
        <v>0.5</v>
      </c>
      <c r="H19" s="53"/>
      <c r="I19" s="53"/>
      <c r="J19" s="52">
        <v>74.27</v>
      </c>
      <c r="K19" s="53">
        <f t="shared" si="0"/>
        <v>742.69999999999993</v>
      </c>
      <c r="L19" s="54"/>
    </row>
    <row r="20" spans="2:12" x14ac:dyDescent="0.2">
      <c r="B20" s="107" t="s">
        <v>91</v>
      </c>
      <c r="C20" s="30"/>
      <c r="D20" s="41" t="s">
        <v>43</v>
      </c>
      <c r="E20" s="42" t="s">
        <v>44</v>
      </c>
      <c r="F20" s="56">
        <v>12.5</v>
      </c>
      <c r="G20" s="56">
        <v>1</v>
      </c>
      <c r="H20" s="56">
        <v>50</v>
      </c>
      <c r="I20" s="56"/>
      <c r="J20" s="55">
        <v>112.47</v>
      </c>
      <c r="K20" s="56">
        <f t="shared" si="0"/>
        <v>1568.345</v>
      </c>
      <c r="L20" s="57"/>
    </row>
    <row r="21" spans="2:12" x14ac:dyDescent="0.2">
      <c r="B21" s="108"/>
      <c r="C21" s="34"/>
      <c r="D21" s="36" t="s">
        <v>64</v>
      </c>
      <c r="E21" s="40" t="s">
        <v>41</v>
      </c>
      <c r="F21" s="53">
        <v>11.7</v>
      </c>
      <c r="G21" s="53">
        <v>2</v>
      </c>
      <c r="H21" s="53">
        <v>100</v>
      </c>
      <c r="I21" s="53"/>
      <c r="J21" s="52">
        <v>173.74</v>
      </c>
      <c r="K21" s="53">
        <f t="shared" si="0"/>
        <v>2480.2380000000003</v>
      </c>
      <c r="L21" s="54"/>
    </row>
    <row r="22" spans="2:12" x14ac:dyDescent="0.2">
      <c r="B22" s="108"/>
      <c r="C22" s="34"/>
      <c r="D22" s="43" t="s">
        <v>63</v>
      </c>
      <c r="E22" s="39" t="s">
        <v>84</v>
      </c>
      <c r="F22" s="50">
        <v>11</v>
      </c>
      <c r="G22" s="50">
        <v>3</v>
      </c>
      <c r="H22" s="58">
        <v>50</v>
      </c>
      <c r="I22" s="50"/>
      <c r="J22" s="49">
        <v>80</v>
      </c>
      <c r="K22" s="50">
        <f t="shared" si="0"/>
        <v>1170</v>
      </c>
      <c r="L22" s="51"/>
    </row>
    <row r="23" spans="2:12" x14ac:dyDescent="0.2">
      <c r="B23" s="108"/>
      <c r="C23" s="34"/>
      <c r="D23" s="36" t="s">
        <v>56</v>
      </c>
      <c r="E23" s="40" t="s">
        <v>57</v>
      </c>
      <c r="F23" s="53">
        <v>11.5</v>
      </c>
      <c r="G23" s="53">
        <v>2</v>
      </c>
      <c r="H23" s="53">
        <v>100</v>
      </c>
      <c r="I23" s="53"/>
      <c r="J23" s="52">
        <v>181.23</v>
      </c>
      <c r="K23" s="53">
        <f t="shared" si="0"/>
        <v>2546.605</v>
      </c>
      <c r="L23" s="54" t="s">
        <v>124</v>
      </c>
    </row>
    <row r="24" spans="2:12" x14ac:dyDescent="0.2">
      <c r="B24" s="108"/>
      <c r="C24" s="34"/>
      <c r="D24" s="43" t="s">
        <v>48</v>
      </c>
      <c r="E24" s="39" t="s">
        <v>49</v>
      </c>
      <c r="F24" s="50">
        <v>11.4</v>
      </c>
      <c r="G24" s="50">
        <v>1.5</v>
      </c>
      <c r="H24" s="50"/>
      <c r="I24" s="50"/>
      <c r="J24" s="49">
        <v>73.34</v>
      </c>
      <c r="K24" s="50">
        <f t="shared" si="0"/>
        <v>946.08600000000001</v>
      </c>
      <c r="L24" s="51"/>
    </row>
    <row r="25" spans="2:12" x14ac:dyDescent="0.2">
      <c r="B25" s="108"/>
      <c r="C25" s="34"/>
      <c r="D25" s="36" t="s">
        <v>92</v>
      </c>
      <c r="E25" s="40" t="s">
        <v>39</v>
      </c>
      <c r="F25" s="53">
        <v>11</v>
      </c>
      <c r="G25" s="53">
        <v>2</v>
      </c>
      <c r="H25" s="53"/>
      <c r="I25" s="53"/>
      <c r="J25" s="52">
        <v>78.12</v>
      </c>
      <c r="K25" s="53">
        <f t="shared" si="0"/>
        <v>1015.5600000000001</v>
      </c>
      <c r="L25" s="54"/>
    </row>
    <row r="26" spans="2:12" x14ac:dyDescent="0.2">
      <c r="B26" s="108"/>
      <c r="C26" s="34"/>
      <c r="D26" s="43" t="s">
        <v>40</v>
      </c>
      <c r="E26" s="39" t="s">
        <v>97</v>
      </c>
      <c r="F26" s="50">
        <v>10.4</v>
      </c>
      <c r="G26" s="50">
        <v>2</v>
      </c>
      <c r="H26" s="50"/>
      <c r="I26" s="50"/>
      <c r="J26" s="49">
        <v>52.25</v>
      </c>
      <c r="K26" s="50">
        <f t="shared" si="0"/>
        <v>647.9</v>
      </c>
      <c r="L26" s="51"/>
    </row>
    <row r="27" spans="2:12" x14ac:dyDescent="0.2">
      <c r="B27" s="108"/>
      <c r="C27" s="34"/>
      <c r="D27" s="36" t="s">
        <v>107</v>
      </c>
      <c r="E27" s="40" t="s">
        <v>84</v>
      </c>
      <c r="F27" s="53">
        <v>11.5</v>
      </c>
      <c r="G27" s="59">
        <v>1.5</v>
      </c>
      <c r="H27" s="53"/>
      <c r="I27" s="53"/>
      <c r="J27" s="52">
        <v>159.69</v>
      </c>
      <c r="K27" s="53">
        <f t="shared" si="0"/>
        <v>2075.9699999999998</v>
      </c>
      <c r="L27" s="54"/>
    </row>
    <row r="28" spans="2:12" x14ac:dyDescent="0.2">
      <c r="B28" s="108"/>
      <c r="C28" s="34"/>
      <c r="D28" s="43" t="s">
        <v>93</v>
      </c>
      <c r="E28" s="39" t="s">
        <v>42</v>
      </c>
      <c r="F28" s="50">
        <v>12.5</v>
      </c>
      <c r="G28" s="50"/>
      <c r="H28" s="50"/>
      <c r="I28" s="50"/>
      <c r="J28" s="49">
        <v>163.97</v>
      </c>
      <c r="K28" s="50">
        <f t="shared" si="0"/>
        <v>2049.625</v>
      </c>
      <c r="L28" s="51" t="s">
        <v>125</v>
      </c>
    </row>
    <row r="29" spans="2:12" x14ac:dyDescent="0.2">
      <c r="B29" s="108"/>
      <c r="C29" s="34"/>
      <c r="D29" s="36" t="s">
        <v>85</v>
      </c>
      <c r="E29" s="40" t="s">
        <v>86</v>
      </c>
      <c r="F29" s="53">
        <v>10</v>
      </c>
      <c r="G29" s="53">
        <v>0.5</v>
      </c>
      <c r="H29" s="53"/>
      <c r="I29" s="53"/>
      <c r="J29" s="52">
        <v>81.91</v>
      </c>
      <c r="K29" s="53">
        <f t="shared" si="0"/>
        <v>860.05499999999995</v>
      </c>
      <c r="L29" s="54"/>
    </row>
    <row r="30" spans="2:12" x14ac:dyDescent="0.2">
      <c r="B30" s="108"/>
      <c r="C30" s="34"/>
      <c r="D30" s="43" t="s">
        <v>60</v>
      </c>
      <c r="E30" s="39" t="s">
        <v>61</v>
      </c>
      <c r="F30" s="50">
        <v>11</v>
      </c>
      <c r="G30" s="50">
        <v>1</v>
      </c>
      <c r="H30" s="50"/>
      <c r="I30" s="50"/>
      <c r="J30" s="49">
        <v>65.59</v>
      </c>
      <c r="K30" s="50">
        <f t="shared" si="0"/>
        <v>787.08</v>
      </c>
      <c r="L30" s="51"/>
    </row>
    <row r="31" spans="2:12" x14ac:dyDescent="0.2">
      <c r="B31" s="108"/>
      <c r="C31" s="34"/>
      <c r="D31" s="36" t="s">
        <v>94</v>
      </c>
      <c r="E31" s="40" t="s">
        <v>98</v>
      </c>
      <c r="F31" s="53">
        <v>10.42</v>
      </c>
      <c r="G31" s="53">
        <v>0.5</v>
      </c>
      <c r="H31" s="53"/>
      <c r="I31" s="53"/>
      <c r="J31" s="52">
        <v>67.22</v>
      </c>
      <c r="K31" s="53">
        <f t="shared" si="0"/>
        <v>734.04240000000004</v>
      </c>
      <c r="L31" s="54"/>
    </row>
    <row r="32" spans="2:12" x14ac:dyDescent="0.2">
      <c r="B32" s="108"/>
      <c r="C32" s="34"/>
      <c r="D32" s="43" t="s">
        <v>65</v>
      </c>
      <c r="E32" s="39" t="s">
        <v>99</v>
      </c>
      <c r="F32" s="50">
        <v>9.5</v>
      </c>
      <c r="G32" s="50">
        <v>0.5</v>
      </c>
      <c r="H32" s="50"/>
      <c r="I32" s="50"/>
      <c r="J32" s="49">
        <v>91.5</v>
      </c>
      <c r="K32" s="50">
        <f t="shared" si="0"/>
        <v>915</v>
      </c>
      <c r="L32" s="51"/>
    </row>
    <row r="33" spans="2:12" x14ac:dyDescent="0.2">
      <c r="B33" s="109"/>
      <c r="C33" s="34" t="s">
        <v>103</v>
      </c>
      <c r="D33" s="36" t="s">
        <v>121</v>
      </c>
      <c r="E33" s="40" t="s">
        <v>122</v>
      </c>
      <c r="F33" s="53">
        <v>11.5</v>
      </c>
      <c r="G33" s="53">
        <v>2</v>
      </c>
      <c r="H33" s="53"/>
      <c r="I33" s="53">
        <v>100</v>
      </c>
      <c r="J33" s="52">
        <v>190.77</v>
      </c>
      <c r="K33" s="53">
        <f t="shared" si="0"/>
        <v>2575.395</v>
      </c>
      <c r="L33" s="54"/>
    </row>
    <row r="34" spans="2:12" ht="15" thickBot="1" x14ac:dyDescent="0.25">
      <c r="B34" s="110"/>
      <c r="C34" s="35"/>
      <c r="D34" s="114" t="s">
        <v>111</v>
      </c>
      <c r="E34" s="115" t="s">
        <v>115</v>
      </c>
      <c r="F34" s="116">
        <v>10</v>
      </c>
      <c r="G34" s="116">
        <v>0.5</v>
      </c>
      <c r="H34" s="116"/>
      <c r="I34" s="116"/>
      <c r="J34" s="117">
        <v>51.5</v>
      </c>
      <c r="K34" s="116">
        <f t="shared" si="0"/>
        <v>540.75</v>
      </c>
      <c r="L34" s="118"/>
    </row>
    <row r="35" spans="2:12" x14ac:dyDescent="0.2">
      <c r="B35" s="107" t="s">
        <v>95</v>
      </c>
      <c r="C35" s="30"/>
      <c r="D35" s="43" t="s">
        <v>68</v>
      </c>
      <c r="E35" s="39" t="s">
        <v>11</v>
      </c>
      <c r="F35" s="50">
        <v>11</v>
      </c>
      <c r="G35" s="50"/>
      <c r="H35" s="50"/>
      <c r="I35" s="50">
        <f>+'Dumpling Bonus '!J8</f>
        <v>222.4875000000001</v>
      </c>
      <c r="J35" s="49">
        <f>+'Dumpling Bonus '!G8</f>
        <v>120.66999999999999</v>
      </c>
      <c r="K35" s="50">
        <f t="shared" si="0"/>
        <v>1327.37</v>
      </c>
      <c r="L35" s="51"/>
    </row>
    <row r="36" spans="2:12" x14ac:dyDescent="0.2">
      <c r="B36" s="108"/>
      <c r="C36" s="34"/>
      <c r="D36" s="36" t="s">
        <v>30</v>
      </c>
      <c r="E36" s="40" t="s">
        <v>100</v>
      </c>
      <c r="F36" s="53">
        <v>11</v>
      </c>
      <c r="G36" s="53"/>
      <c r="H36" s="53"/>
      <c r="I36" s="53">
        <v>110</v>
      </c>
      <c r="J36" s="52">
        <v>204.56</v>
      </c>
      <c r="K36" s="53">
        <f>+F36*J36+(G36*J36)+H36+I36</f>
        <v>2360.16</v>
      </c>
      <c r="L36" s="54"/>
    </row>
    <row r="37" spans="2:12" x14ac:dyDescent="0.2">
      <c r="B37" s="108"/>
      <c r="C37" s="34"/>
      <c r="D37" s="43" t="s">
        <v>32</v>
      </c>
      <c r="E37" s="39" t="s">
        <v>33</v>
      </c>
      <c r="F37" s="50">
        <v>11</v>
      </c>
      <c r="G37" s="50"/>
      <c r="H37" s="50"/>
      <c r="I37" s="50">
        <v>100</v>
      </c>
      <c r="J37" s="49">
        <v>203.66</v>
      </c>
      <c r="K37" s="50">
        <f t="shared" si="0"/>
        <v>2240.2599999999998</v>
      </c>
      <c r="L37" s="51"/>
    </row>
    <row r="38" spans="2:12" x14ac:dyDescent="0.2">
      <c r="B38" s="108"/>
      <c r="C38" s="34"/>
      <c r="D38" s="36" t="s">
        <v>96</v>
      </c>
      <c r="E38" s="40" t="s">
        <v>13</v>
      </c>
      <c r="F38" s="53">
        <v>10.42</v>
      </c>
      <c r="G38" s="53"/>
      <c r="H38" s="53"/>
      <c r="I38" s="53"/>
      <c r="J38" s="52">
        <v>22.99</v>
      </c>
      <c r="K38" s="53">
        <f t="shared" si="0"/>
        <v>239.55579999999998</v>
      </c>
      <c r="L38" s="54"/>
    </row>
    <row r="39" spans="2:12" ht="15" thickBot="1" x14ac:dyDescent="0.25">
      <c r="B39" s="110"/>
      <c r="C39" s="35"/>
      <c r="D39" s="43" t="s">
        <v>16</v>
      </c>
      <c r="E39" s="39" t="s">
        <v>16</v>
      </c>
      <c r="F39" s="50">
        <v>11.5</v>
      </c>
      <c r="G39" s="50">
        <v>1</v>
      </c>
      <c r="H39" s="50"/>
      <c r="I39" s="50"/>
      <c r="J39" s="49">
        <f>+'Dumpling Bonus '!G7</f>
        <v>96.419999999999987</v>
      </c>
      <c r="K39" s="50">
        <f t="shared" si="0"/>
        <v>1205.25</v>
      </c>
      <c r="L39" s="51"/>
    </row>
    <row r="40" spans="2:12" ht="26" customHeight="1" thickBot="1" x14ac:dyDescent="0.25">
      <c r="B40" s="111" t="s">
        <v>102</v>
      </c>
      <c r="C40" s="112"/>
      <c r="D40" s="66"/>
      <c r="E40" s="67"/>
      <c r="F40" s="68"/>
      <c r="G40" s="67"/>
      <c r="H40" s="68">
        <f>+SUM(H7:H39)</f>
        <v>800</v>
      </c>
      <c r="I40" s="67">
        <f>+SUM(I7:I39)</f>
        <v>532.48750000000007</v>
      </c>
      <c r="J40" s="67">
        <f>+SUM(J7:J39)</f>
        <v>3593.5299999999993</v>
      </c>
      <c r="K40" s="68">
        <f>+SUM(K7:K39)</f>
        <v>44838.70380000001</v>
      </c>
      <c r="L40" s="69"/>
    </row>
  </sheetData>
  <mergeCells count="4">
    <mergeCell ref="B7:B19"/>
    <mergeCell ref="B20:B34"/>
    <mergeCell ref="B35:B39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13"/>
  <sheetViews>
    <sheetView workbookViewId="0">
      <selection activeCell="F8" sqref="F8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1" spans="2:10" x14ac:dyDescent="0.2">
      <c r="D1" s="5" t="e">
        <f>+'Summary '!#REF!</f>
        <v>#REF!</v>
      </c>
    </row>
    <row r="3" spans="2:10" x14ac:dyDescent="0.2">
      <c r="B3" s="113" t="s">
        <v>5</v>
      </c>
      <c r="C3" s="113"/>
      <c r="D3" s="113"/>
      <c r="E3" s="113"/>
      <c r="F3" s="113"/>
      <c r="G3" s="113"/>
      <c r="H3" s="113"/>
    </row>
    <row r="4" spans="2:10" x14ac:dyDescent="0.2">
      <c r="B4" s="113"/>
      <c r="C4" s="113"/>
      <c r="D4" s="113"/>
      <c r="E4" s="113"/>
      <c r="F4" s="113"/>
      <c r="G4" s="113"/>
      <c r="H4" s="113"/>
    </row>
    <row r="5" spans="2:10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10" x14ac:dyDescent="0.2">
      <c r="B6" s="13" t="s">
        <v>116</v>
      </c>
      <c r="C6" s="6"/>
      <c r="D6" s="6"/>
      <c r="E6" s="14">
        <f>+'Timesheet '!F20</f>
        <v>12.5</v>
      </c>
      <c r="F6" s="27">
        <f>3*8</f>
        <v>24</v>
      </c>
      <c r="G6" s="15">
        <f>+F6*E6</f>
        <v>300</v>
      </c>
      <c r="H6" s="28"/>
    </row>
    <row r="7" spans="2:10" ht="15" customHeight="1" x14ac:dyDescent="0.2">
      <c r="B7" s="13" t="s">
        <v>30</v>
      </c>
      <c r="C7" s="6"/>
      <c r="D7" s="6"/>
      <c r="E7" s="14">
        <v>11</v>
      </c>
      <c r="F7" s="27">
        <f>3*8</f>
        <v>24</v>
      </c>
      <c r="G7" s="15">
        <f t="shared" ref="G7:G10" si="0">+E7*F7</f>
        <v>264</v>
      </c>
      <c r="H7" s="28"/>
    </row>
    <row r="8" spans="2:10" ht="15" customHeight="1" x14ac:dyDescent="0.2">
      <c r="B8" s="13"/>
      <c r="C8" s="6"/>
      <c r="D8" s="6"/>
      <c r="E8" s="14"/>
      <c r="F8" s="27"/>
      <c r="G8" s="15">
        <f t="shared" si="0"/>
        <v>0</v>
      </c>
      <c r="H8" s="28"/>
    </row>
    <row r="9" spans="2:10" x14ac:dyDescent="0.2">
      <c r="B9" s="13"/>
      <c r="C9" s="6"/>
      <c r="D9" s="6"/>
      <c r="E9" s="14"/>
      <c r="F9" s="27"/>
      <c r="G9" s="15">
        <f t="shared" si="0"/>
        <v>0</v>
      </c>
      <c r="H9" s="28"/>
    </row>
    <row r="10" spans="2:10" x14ac:dyDescent="0.2">
      <c r="B10" s="13"/>
      <c r="C10" s="6"/>
      <c r="D10" s="6"/>
      <c r="E10" s="14"/>
      <c r="F10" s="27"/>
      <c r="G10" s="15">
        <f t="shared" si="0"/>
        <v>0</v>
      </c>
      <c r="H10" s="29"/>
    </row>
    <row r="11" spans="2:10" ht="15" thickBot="1" x14ac:dyDescent="0.25">
      <c r="B11" s="3" t="s">
        <v>6</v>
      </c>
      <c r="C11" s="4"/>
      <c r="D11" s="4"/>
      <c r="E11" s="4"/>
      <c r="F11" s="4"/>
      <c r="G11" s="22">
        <f>+SUM(G6:G10)</f>
        <v>564</v>
      </c>
      <c r="H11" s="72"/>
    </row>
    <row r="12" spans="2:10" ht="15" thickTop="1" x14ac:dyDescent="0.2">
      <c r="B12" s="8"/>
      <c r="C12" s="7"/>
      <c r="D12" s="7"/>
      <c r="E12" s="7"/>
      <c r="F12" s="7"/>
      <c r="G12" s="9"/>
      <c r="H12" s="73"/>
    </row>
    <row r="13" spans="2:10" x14ac:dyDescent="0.2">
      <c r="B13" s="113"/>
      <c r="C13" s="113"/>
      <c r="D13" s="113"/>
      <c r="E13" s="113"/>
      <c r="F13" s="113"/>
      <c r="G13" s="113"/>
      <c r="H13" s="113"/>
      <c r="I13" s="2"/>
      <c r="J13" s="73"/>
    </row>
  </sheetData>
  <mergeCells count="3">
    <mergeCell ref="B13:H13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B11" sqref="B11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74"/>
      <c r="B1" s="19"/>
      <c r="C1" s="19"/>
      <c r="D1" s="19"/>
      <c r="E1" s="19"/>
      <c r="F1" s="19"/>
      <c r="G1" s="19"/>
      <c r="H1" s="19"/>
      <c r="I1" s="19"/>
      <c r="J1" s="19"/>
      <c r="K1" s="75"/>
    </row>
    <row r="2" spans="1:11" ht="32" customHeight="1" x14ac:dyDescent="0.2">
      <c r="A2" s="74"/>
      <c r="B2" s="104" t="s">
        <v>104</v>
      </c>
      <c r="C2" s="104" t="s">
        <v>35</v>
      </c>
      <c r="D2" s="104" t="s">
        <v>53</v>
      </c>
      <c r="E2" s="104" t="s">
        <v>9</v>
      </c>
      <c r="F2" s="104" t="s">
        <v>10</v>
      </c>
      <c r="G2" s="104" t="s">
        <v>38</v>
      </c>
      <c r="H2" s="104" t="s">
        <v>14</v>
      </c>
      <c r="I2" s="104" t="s">
        <v>59</v>
      </c>
      <c r="J2" s="104" t="s">
        <v>34</v>
      </c>
      <c r="K2" s="61"/>
    </row>
    <row r="3" spans="1:11" ht="13" customHeight="1" x14ac:dyDescent="0.2">
      <c r="A3" s="76"/>
      <c r="B3" s="21"/>
      <c r="C3" s="77"/>
      <c r="D3" s="78"/>
      <c r="E3" s="79"/>
      <c r="F3" s="80"/>
      <c r="G3" s="81"/>
      <c r="H3" s="18"/>
      <c r="I3" s="18"/>
      <c r="J3" s="18"/>
      <c r="K3" s="82"/>
    </row>
    <row r="4" spans="1:11" x14ac:dyDescent="0.2">
      <c r="A4" s="76"/>
      <c r="B4" s="83" t="s">
        <v>128</v>
      </c>
      <c r="C4" s="84"/>
      <c r="D4" s="85">
        <v>70870551</v>
      </c>
      <c r="E4" s="86" t="s">
        <v>126</v>
      </c>
      <c r="F4" s="87"/>
      <c r="G4" s="88"/>
      <c r="H4" s="89"/>
      <c r="I4" s="89"/>
      <c r="J4" s="89" t="s">
        <v>127</v>
      </c>
      <c r="K4" s="82"/>
    </row>
    <row r="5" spans="1:11" x14ac:dyDescent="0.2">
      <c r="A5" s="76"/>
      <c r="B5" s="21"/>
      <c r="C5" s="77"/>
      <c r="D5" s="90"/>
      <c r="E5" s="91"/>
      <c r="F5" s="80"/>
      <c r="G5" s="81"/>
      <c r="H5" s="18"/>
      <c r="I5" s="18"/>
      <c r="J5" s="18"/>
      <c r="K5" s="82"/>
    </row>
    <row r="6" spans="1:11" x14ac:dyDescent="0.2">
      <c r="A6" s="76"/>
      <c r="B6" s="83"/>
      <c r="C6" s="92"/>
      <c r="D6" s="93"/>
      <c r="E6" s="86"/>
      <c r="F6" s="87"/>
      <c r="G6" s="88"/>
      <c r="H6" s="89"/>
      <c r="I6" s="89"/>
      <c r="J6" s="89"/>
      <c r="K6" s="82"/>
    </row>
    <row r="7" spans="1:11" x14ac:dyDescent="0.2">
      <c r="A7" s="76"/>
      <c r="B7" s="21"/>
      <c r="D7" s="90"/>
      <c r="E7" s="94"/>
      <c r="F7" s="80"/>
      <c r="G7" s="81"/>
      <c r="H7" s="18"/>
      <c r="I7" s="18"/>
      <c r="J7" s="18"/>
      <c r="K7" s="82"/>
    </row>
    <row r="8" spans="1:11" x14ac:dyDescent="0.2">
      <c r="A8" s="74"/>
      <c r="B8" s="83"/>
      <c r="C8" s="92"/>
      <c r="D8" s="93"/>
      <c r="E8" s="86"/>
      <c r="F8" s="87"/>
      <c r="G8" s="88"/>
      <c r="H8" s="89"/>
      <c r="I8" s="89"/>
      <c r="J8" s="89"/>
      <c r="K8" s="82"/>
    </row>
    <row r="9" spans="1:11" x14ac:dyDescent="0.2">
      <c r="A9" s="19"/>
      <c r="B9" s="21"/>
      <c r="C9" s="77"/>
      <c r="D9" s="78"/>
      <c r="E9" s="79"/>
      <c r="F9" s="80"/>
      <c r="G9" s="81"/>
      <c r="H9" s="18"/>
      <c r="I9" s="95"/>
      <c r="J9" s="18"/>
      <c r="K9" s="82"/>
    </row>
    <row r="10" spans="1:11" x14ac:dyDescent="0.2">
      <c r="A10" s="74"/>
      <c r="B10" s="83"/>
      <c r="C10" s="92"/>
      <c r="D10" s="84"/>
      <c r="E10" s="86"/>
      <c r="F10" s="87"/>
      <c r="G10" s="89"/>
      <c r="H10" s="89"/>
      <c r="I10" s="89"/>
      <c r="J10" s="89"/>
      <c r="K10" s="82"/>
    </row>
    <row r="11" spans="1:11" x14ac:dyDescent="0.2">
      <c r="A11" s="74"/>
      <c r="B11" s="21"/>
      <c r="C11" s="77"/>
      <c r="D11" s="96"/>
      <c r="E11" s="91"/>
      <c r="F11" s="80"/>
      <c r="G11" s="18"/>
      <c r="H11" s="18"/>
      <c r="I11" s="18"/>
      <c r="J11" s="18"/>
      <c r="K11" s="82"/>
    </row>
    <row r="12" spans="1:11" x14ac:dyDescent="0.2">
      <c r="A12" s="19"/>
      <c r="B12" s="83"/>
      <c r="C12" s="92"/>
      <c r="D12" s="84"/>
      <c r="E12" s="86"/>
      <c r="F12" s="97"/>
      <c r="G12" s="89"/>
      <c r="H12" s="89"/>
      <c r="I12" s="89"/>
      <c r="J12" s="89"/>
      <c r="K12" s="18"/>
    </row>
    <row r="13" spans="1:11" x14ac:dyDescent="0.2">
      <c r="A13" s="19"/>
      <c r="B13" s="21"/>
      <c r="C13" s="19"/>
      <c r="D13" s="98"/>
      <c r="E13" s="37"/>
      <c r="G13" s="19"/>
      <c r="H13" s="19"/>
      <c r="I13" s="19"/>
      <c r="J13" s="19"/>
      <c r="K13" s="19"/>
    </row>
    <row r="14" spans="1:11" x14ac:dyDescent="0.2">
      <c r="B14" s="99"/>
      <c r="C14" s="100"/>
      <c r="D14" s="101"/>
      <c r="E14" s="101"/>
      <c r="F14" s="100"/>
      <c r="G14" s="100"/>
      <c r="H14" s="100"/>
      <c r="I14" s="100"/>
      <c r="J14" s="100"/>
    </row>
    <row r="15" spans="1:11" x14ac:dyDescent="0.2">
      <c r="B15" s="102"/>
      <c r="D15" s="103"/>
      <c r="E15" s="94"/>
    </row>
    <row r="16" spans="1:11" x14ac:dyDescent="0.2">
      <c r="B16" s="99"/>
      <c r="C16" s="100"/>
      <c r="D16" s="101"/>
      <c r="E16" s="101"/>
      <c r="F16" s="100"/>
      <c r="G16" s="100"/>
      <c r="H16" s="100"/>
      <c r="I16" s="100"/>
      <c r="J16" s="100"/>
    </row>
    <row r="17" spans="2:5" x14ac:dyDescent="0.2">
      <c r="B17" s="102"/>
      <c r="D17" s="94"/>
      <c r="E17" s="9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3" workbookViewId="0">
      <selection activeCell="C8" sqref="C8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6"/>
      <c r="C6" s="106" t="s">
        <v>25</v>
      </c>
      <c r="D6" s="106" t="s">
        <v>18</v>
      </c>
      <c r="E6" s="106" t="s">
        <v>26</v>
      </c>
      <c r="F6" s="106" t="s">
        <v>29</v>
      </c>
      <c r="G6" s="106" t="s">
        <v>27</v>
      </c>
      <c r="H6" s="106"/>
      <c r="I6" s="106" t="s">
        <v>28</v>
      </c>
      <c r="J6" s="106" t="s">
        <v>21</v>
      </c>
      <c r="K6" s="106" t="s">
        <v>36</v>
      </c>
      <c r="L6" s="106" t="s">
        <v>31</v>
      </c>
    </row>
    <row r="7" spans="1:12" ht="15" thickTop="1" x14ac:dyDescent="0.2">
      <c r="B7" s="5" t="s">
        <v>16</v>
      </c>
      <c r="C7" s="5">
        <v>156.41999999999999</v>
      </c>
      <c r="D7" s="5">
        <f>+B15*B16</f>
        <v>5400</v>
      </c>
      <c r="E7" s="5">
        <v>13402</v>
      </c>
      <c r="F7" s="5">
        <f>E7-D7</f>
        <v>8002</v>
      </c>
      <c r="G7" s="5">
        <f>C7-B16</f>
        <v>96.419999999999987</v>
      </c>
      <c r="H7" s="5">
        <f>G7*$B$14</f>
        <v>7231.4999999999991</v>
      </c>
      <c r="I7" s="5">
        <f>F7-H7</f>
        <v>770.50000000000091</v>
      </c>
      <c r="J7" s="23">
        <f>I7*$B$13</f>
        <v>38.525000000000048</v>
      </c>
      <c r="K7" s="20">
        <f>J7/G7</f>
        <v>0.39955403443269089</v>
      </c>
      <c r="L7" s="26">
        <f>C7-B16</f>
        <v>96.419999999999987</v>
      </c>
    </row>
    <row r="8" spans="1:12" ht="17" customHeight="1" x14ac:dyDescent="0.2">
      <c r="B8" s="5" t="s">
        <v>17</v>
      </c>
      <c r="C8" s="5">
        <v>170.67</v>
      </c>
      <c r="D8" s="5">
        <f>$B$15*B17</f>
        <v>4500</v>
      </c>
      <c r="E8" s="5">
        <v>18000</v>
      </c>
      <c r="F8" s="5">
        <f t="shared" ref="F8" si="0">E8-D8</f>
        <v>13500</v>
      </c>
      <c r="G8" s="5">
        <f t="shared" ref="G8" si="1">C8-B17</f>
        <v>120.66999999999999</v>
      </c>
      <c r="H8" s="5">
        <f t="shared" ref="H8" si="2">G8*$B$14</f>
        <v>9050.2499999999982</v>
      </c>
      <c r="I8" s="5">
        <f>F8-H8</f>
        <v>4449.7500000000018</v>
      </c>
      <c r="J8" s="23">
        <f t="shared" ref="J8" si="3">I8*$B$13</f>
        <v>222.4875000000001</v>
      </c>
      <c r="K8" s="25">
        <f>J8/G8</f>
        <v>1.8437681279522675</v>
      </c>
      <c r="L8" s="26">
        <f>C8-B17</f>
        <v>120.66999999999999</v>
      </c>
    </row>
    <row r="9" spans="1:12" ht="17" customHeight="1" x14ac:dyDescent="0.2">
      <c r="E9" s="5" t="s">
        <v>55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05" t="s">
        <v>119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62" t="s">
        <v>20</v>
      </c>
      <c r="B16" s="5">
        <v>60</v>
      </c>
      <c r="C16" s="5" t="s">
        <v>54</v>
      </c>
    </row>
    <row r="17" spans="1:7" x14ac:dyDescent="0.2">
      <c r="A17" s="62" t="s">
        <v>19</v>
      </c>
      <c r="B17" s="5">
        <v>50</v>
      </c>
    </row>
    <row r="18" spans="1:7" x14ac:dyDescent="0.2">
      <c r="A18" s="62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2023-12-18T12:34:31Z</dcterms:modified>
</cp:coreProperties>
</file>